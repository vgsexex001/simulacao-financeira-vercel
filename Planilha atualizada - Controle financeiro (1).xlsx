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" sheetId="1" r:id="rId5"/>
    <sheet state="visible" name="Configuração" sheetId="2" r:id="rId6"/>
    <sheet state="visible" name="Janeiro" sheetId="3" r:id="rId7"/>
    <sheet state="visible" name="Fevereiro" sheetId="4" r:id="rId8"/>
    <sheet state="visible" name="Março" sheetId="5" r:id="rId9"/>
    <sheet state="visible" name="Abril" sheetId="6" r:id="rId10"/>
    <sheet state="visible" name="Maio" sheetId="7" r:id="rId11"/>
    <sheet state="visible" name="Junho" sheetId="8" r:id="rId12"/>
    <sheet state="visible" name="Julho" sheetId="9" r:id="rId13"/>
    <sheet state="visible" name="Agosto" sheetId="10" r:id="rId14"/>
    <sheet state="visible" name="Setembro" sheetId="11" r:id="rId15"/>
    <sheet state="visible" name="Outubro" sheetId="12" r:id="rId16"/>
    <sheet state="visible" name="Novembro" sheetId="13" r:id="rId17"/>
    <sheet state="visible" name="Dezembro" sheetId="14" r:id="rId18"/>
    <sheet state="visible" name="Raio-X Anual" sheetId="15" r:id="rId19"/>
  </sheets>
  <definedNames/>
  <calcPr/>
</workbook>
</file>

<file path=xl/sharedStrings.xml><?xml version="1.0" encoding="utf-8"?>
<sst xmlns="http://schemas.openxmlformats.org/spreadsheetml/2006/main" count="1583" uniqueCount="295">
  <si>
    <t>💰 CONTROLE FINANCEIRO TOTAL — MENTE MILIONÁRIA 2026</t>
  </si>
  <si>
    <t>🏦 SALDO EM TEMPO REAL</t>
  </si>
  <si>
    <t>💵 TOTAL ENTRADAS ANO</t>
  </si>
  <si>
    <t>💸 TOTAL SAÍDAS ANO</t>
  </si>
  <si>
    <t>📊 TAXA DE POUPANÇA</t>
  </si>
  <si>
    <t>💵 DE ONDE VEM O DINHEIRO — POR FONTE DE RECEITA</t>
  </si>
  <si>
    <t>Fonte de Receita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</si>
  <si>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</si>
  <si>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</si>
  <si>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</si>
  <si>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</si>
  <si>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</si>
  <si>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</si>
  <si>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</si>
  <si>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</si>
  <si>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</si>
  <si>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</si>
  <si>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</si>
  <si>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</si>
  <si>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</si>
  <si>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 xml:space="preserve">  Salário CLT</t>
  </si>
  <si>
    <t>Salário CLT</t>
  </si>
  <si>
    <t xml:space="preserve">  Freelance / Projetos</t>
  </si>
  <si>
    <t>Freelance / Projetos</t>
  </si>
  <si>
    <t xml:space="preserve">  Vendas Online</t>
  </si>
  <si>
    <t>Vendas Online</t>
  </si>
  <si>
    <t xml:space="preserve">  Consultoria</t>
  </si>
  <si>
    <t>Consultoria</t>
  </si>
  <si>
    <t xml:space="preserve">  Rendimentos / Investimentos</t>
  </si>
  <si>
    <t>Rendimentos / Investimentos</t>
  </si>
  <si>
    <t xml:space="preserve">  Aluguel Recebido</t>
  </si>
  <si>
    <t>Aluguel Recebido</t>
  </si>
  <si>
    <t xml:space="preserve">  Comissões</t>
  </si>
  <si>
    <t>Comissões</t>
  </si>
  <si>
    <t xml:space="preserve">  Bônus / Participação</t>
  </si>
  <si>
    <t>Bônus / Participação</t>
  </si>
  <si>
    <t xml:space="preserve">  Renda Extra / Bico</t>
  </si>
  <si>
    <t>Renda Extra / Bico</t>
  </si>
  <si>
    <t xml:space="preserve">  Outros</t>
  </si>
  <si>
    <t>Outros</t>
  </si>
  <si>
    <t>📊 TOTAL</t>
  </si>
  <si>
    <t>📊 FLUXO DE CAIXA — ENTRADAS vs SAÍDAS vs SALDO MENSAL</t>
  </si>
  <si>
    <t>💵 Total Entradas</t>
  </si>
  <si>
    <t>🔒 Despesas Fixas</t>
  </si>
  <si>
    <t>🛒 Despesas Variáveis</t>
  </si>
  <si>
    <t>💸 Total Saídas</t>
  </si>
  <si>
    <t>📈 Saldo do Mês</t>
  </si>
  <si>
    <t>💰 Saldo Acumulado</t>
  </si>
  <si>
    <t>📊 % Poupança Mês</t>
  </si>
  <si>
    <t>💸 ONDE VAI O DINHEIRO — POR CATEGORIA</t>
  </si>
  <si>
    <t>Categoria</t>
  </si>
  <si>
    <t>Total Ano</t>
  </si>
  <si>
    <t>% Gasto</t>
  </si>
  <si>
    <t>% Renda</t>
  </si>
  <si>
    <t>Alerta</t>
  </si>
  <si>
    <t xml:space="preserve">  Moradia</t>
  </si>
  <si>
    <t>Moradia</t>
  </si>
  <si>
    <t xml:space="preserve">  Alimentação</t>
  </si>
  <si>
    <t>Alimentação</t>
  </si>
  <si>
    <t xml:space="preserve">  Transporte</t>
  </si>
  <si>
    <t>Transporte</t>
  </si>
  <si>
    <t xml:space="preserve">  Saúde</t>
  </si>
  <si>
    <t>Saúde</t>
  </si>
  <si>
    <t xml:space="preserve">  Educação</t>
  </si>
  <si>
    <t>Educação</t>
  </si>
  <si>
    <t xml:space="preserve">  Lazer / Diversão</t>
  </si>
  <si>
    <t>Lazer / Diversão</t>
  </si>
  <si>
    <t xml:space="preserve">  Vestuário</t>
  </si>
  <si>
    <t>Vestuário</t>
  </si>
  <si>
    <t xml:space="preserve">  Tecnologia</t>
  </si>
  <si>
    <t>Tecnologia</t>
  </si>
  <si>
    <t xml:space="preserve">  Assinaturas</t>
  </si>
  <si>
    <t>Assinaturas</t>
  </si>
  <si>
    <t xml:space="preserve">  Seguros</t>
  </si>
  <si>
    <t>Seguros</t>
  </si>
  <si>
    <t xml:space="preserve">  Impostos</t>
  </si>
  <si>
    <t>Impostos</t>
  </si>
  <si>
    <t xml:space="preserve">  Investimentos</t>
  </si>
  <si>
    <t>Investimentos</t>
  </si>
  <si>
    <t xml:space="preserve">  Doações</t>
  </si>
  <si>
    <t>Doações</t>
  </si>
  <si>
    <t>🏺 SISTEMA DE JARROS — ALOCAÇÃO vs REAL</t>
  </si>
  <si>
    <t>🎯 JORNADA LIBERDADE FINANCEIRA</t>
  </si>
  <si>
    <t>Jarro</t>
  </si>
  <si>
    <t>% Ideal</t>
  </si>
  <si>
    <t>Alocado Ano</t>
  </si>
  <si>
    <t>% Real</t>
  </si>
  <si>
    <t>Diferença</t>
  </si>
  <si>
    <t>Status</t>
  </si>
  <si>
    <t>Meta Ano</t>
  </si>
  <si>
    <t>Indicador</t>
  </si>
  <si>
    <t>Atual</t>
  </si>
  <si>
    <t>Meta</t>
  </si>
  <si>
    <t>Progresso</t>
  </si>
  <si>
    <t>🏠 Necessidades</t>
  </si>
  <si>
    <t>NEC</t>
  </si>
  <si>
    <t>🛡️ Reserva Emergência</t>
  </si>
  <si>
    <t>💎 Liberdade Financeira</t>
  </si>
  <si>
    <t>CFL</t>
  </si>
  <si>
    <t>💎 Patrimônio Investido</t>
  </si>
  <si>
    <t>🏦 Poupança LP</t>
  </si>
  <si>
    <t>PELP</t>
  </si>
  <si>
    <t>📊 Renda Passiva</t>
  </si>
  <si>
    <t>📚 Educação</t>
  </si>
  <si>
    <t>EDU</t>
  </si>
  <si>
    <t>💰 Patrimônio Total</t>
  </si>
  <si>
    <t>🎉 Diversão</t>
  </si>
  <si>
    <t>DIV</t>
  </si>
  <si>
    <t>📉 Custo de Vida/Mês</t>
  </si>
  <si>
    <t>—</t>
  </si>
  <si>
    <t>📊 Monitorar</t>
  </si>
  <si>
    <t>🤝 Doações</t>
  </si>
  <si>
    <t>DOA</t>
  </si>
  <si>
    <t>⚙️ CONFIGURAÇÃO — EDITE TUDO EM AZUL</t>
  </si>
  <si>
    <t>💰 SEUS DADOS FINANCEIROS — RENDA VARIÁVEL</t>
  </si>
  <si>
    <t>#</t>
  </si>
  <si>
    <t>Parâmetro</t>
  </si>
  <si>
    <t>Valor</t>
  </si>
  <si>
    <t>Descrição</t>
  </si>
  <si>
    <t>Saldo Inicial (todo dinheiro que você tem HOJE)</t>
  </si>
  <si>
    <t>Soma de tudo: contas, carteira, poupança, investimentos</t>
  </si>
  <si>
    <t>Renda Mensal ESTIMADA (referência para jarros)</t>
  </si>
  <si>
    <t>Estimativa — seu real vem das receitas do mês</t>
  </si>
  <si>
    <t>Meta: Reserva de Emergência (R$)</t>
  </si>
  <si>
    <t>Ideal = 6x seu custo de vida mensal</t>
  </si>
  <si>
    <t>Meta: Patrimônio Investido em 12 meses</t>
  </si>
  <si>
    <t>Quanto quer ter investido no jarro CFL</t>
  </si>
  <si>
    <t>Meta: Patrimônio Total em 12 meses</t>
  </si>
  <si>
    <t>Todo seu dinheiro acumulado</t>
  </si>
  <si>
    <t>Renda Passiva ATUAL (mensal)</t>
  </si>
  <si>
    <t>Quanto já recebe sem trabalhar</t>
  </si>
  <si>
    <t>Meta: Renda Passiva em 12 meses</t>
  </si>
  <si>
    <t>Quanto quer receber de renda passiva por mês</t>
  </si>
  <si>
    <t>💵 FONTES DE RENDA — CONFIGURE SUAS FONTES</t>
  </si>
  <si>
    <t>Ativa?</t>
  </si>
  <si>
    <t>Frequência</t>
  </si>
  <si>
    <t>Sim</t>
  </si>
  <si>
    <t>Mensal fixo</t>
  </si>
  <si>
    <t>Variável/projeto</t>
  </si>
  <si>
    <t>Não</t>
  </si>
  <si>
    <t>Variável</t>
  </si>
  <si>
    <t>Por demanda</t>
  </si>
  <si>
    <t>Mensal (juros)</t>
  </si>
  <si>
    <t>Semestral</t>
  </si>
  <si>
    <t>Esporádico</t>
  </si>
  <si>
    <t>🏺 PERCENTUAIS DOS JARROS — PERSONALIZE</t>
  </si>
  <si>
    <t>% do Total</t>
  </si>
  <si>
    <t>Valor Estimado</t>
  </si>
  <si>
    <t>Regra de Ouro</t>
  </si>
  <si>
    <t>🏠</t>
  </si>
  <si>
    <t>Necessidades (NEC)</t>
  </si>
  <si>
    <t>💡 Máx 55%! Se ultrapassa, CORTE custos</t>
  </si>
  <si>
    <t>💎</t>
  </si>
  <si>
    <t>Liberdade Financeira (CFL)</t>
  </si>
  <si>
    <t>💡 SAGRADO — NUNCA gaste, só invista</t>
  </si>
  <si>
    <t>🏦</t>
  </si>
  <si>
    <t>Poupança LP (PELP)</t>
  </si>
  <si>
    <t>💡 Para compras acima de R$500</t>
  </si>
  <si>
    <t>📚</t>
  </si>
  <si>
    <t>Educação (EDU)</t>
  </si>
  <si>
    <t>💡 Investir em VOCÊ = melhor ROI</t>
  </si>
  <si>
    <t>🎉</t>
  </si>
  <si>
    <t>Diversão (DIV)</t>
  </si>
  <si>
    <t>💡 GASTE TUDO todo mês!</t>
  </si>
  <si>
    <t>🤝</t>
  </si>
  <si>
    <t>Doações (DOA)</t>
  </si>
  <si>
    <t>💡 Doar ativa reciprocidade</t>
  </si>
  <si>
    <t>✅</t>
  </si>
  <si>
    <t>🔒 CUSTOS FIXOS MENSAIS — REPLICADOS EM TODOS OS MESES AUTOMATICAMENTE</t>
  </si>
  <si>
    <t>Descrição do Custo Fixo</t>
  </si>
  <si>
    <t>Valor (R$)</t>
  </si>
  <si>
    <t>Vencimento</t>
  </si>
  <si>
    <t>Aluguel / Financiamento</t>
  </si>
  <si>
    <t>Condomínio</t>
  </si>
  <si>
    <t>IPTU (parcela)</t>
  </si>
  <si>
    <t>Energia Elétrica</t>
  </si>
  <si>
    <t>Água / Saneamento</t>
  </si>
  <si>
    <t>Gás</t>
  </si>
  <si>
    <t>Internet</t>
  </si>
  <si>
    <t>Celular</t>
  </si>
  <si>
    <t>Plano de Saúde</t>
  </si>
  <si>
    <t>Seguro (carro/vida)</t>
  </si>
  <si>
    <t>Transporte / Combustível</t>
  </si>
  <si>
    <t>Supermercado (base)</t>
  </si>
  <si>
    <t>Farmácia / Medicamentos</t>
  </si>
  <si>
    <t>Academia</t>
  </si>
  <si>
    <t>Streaming / Entretenimento</t>
  </si>
  <si>
    <t>Assinaturas / SaaS</t>
  </si>
  <si>
    <t>Educação / Cursos</t>
  </si>
  <si>
    <t>Investimento Automático (CFL)</t>
  </si>
  <si>
    <t>Doações Fixas</t>
  </si>
  <si>
    <t>Escola Aurora</t>
  </si>
  <si>
    <t>Serasa</t>
  </si>
  <si>
    <t>Dívida</t>
  </si>
  <si>
    <t>💸</t>
  </si>
  <si>
    <t>TOTAL CUSTOS FIXOS</t>
  </si>
  <si>
    <t>📅 JANEIRO 2026 — CONTROLE COMPLETO</t>
  </si>
  <si>
    <t>🏺 JARROS DO MÊS</t>
  </si>
  <si>
    <t>🔙</t>
  </si>
  <si>
    <t>Saldo Inicial</t>
  </si>
  <si>
    <t>NEC (55%)</t>
  </si>
  <si>
    <t>💵</t>
  </si>
  <si>
    <t>Total Entradas</t>
  </si>
  <si>
    <t>CFL (10%)</t>
  </si>
  <si>
    <t>🔒</t>
  </si>
  <si>
    <t>Despesas Fixas</t>
  </si>
  <si>
    <t>PELP (10%)</t>
  </si>
  <si>
    <t>🛒</t>
  </si>
  <si>
    <t>Despesas Variáveis</t>
  </si>
  <si>
    <t>EDU (10%)</t>
  </si>
  <si>
    <t>Total Saídas</t>
  </si>
  <si>
    <t>DIV (10%)</t>
  </si>
  <si>
    <t>📈</t>
  </si>
  <si>
    <t>Saldo do Mês</t>
  </si>
  <si>
    <t>DOA (5%)</t>
  </si>
  <si>
    <t>SALDO FINAL</t>
  </si>
  <si>
    <t>💰 RECEITAS DO MÊS — DE ONDE VEM SEU DINHEIRO</t>
  </si>
  <si>
    <t>Data</t>
  </si>
  <si>
    <t>Descrição da Receita</t>
  </si>
  <si>
    <t>Recebido?</t>
  </si>
  <si>
    <t>Observação</t>
  </si>
  <si>
    <t>💰</t>
  </si>
  <si>
    <t>TOTAL RECEITAS DO MÊS</t>
  </si>
  <si>
    <t>🔒 DESPESAS FIXAS — AUTOMÁTICAS DA CONFIGURAÇÃO (edite valores se precisar)</t>
  </si>
  <si>
    <t>Venc.</t>
  </si>
  <si>
    <t>Pago? ✅/❌</t>
  </si>
  <si>
    <t>TOTAL DESPESAS FIXAS</t>
  </si>
  <si>
    <t>🛒 DESPESAS VARIÁVEIS — ANOTE AQUI TODAS AS SUAS DESPESAS DO DIA A DIA</t>
  </si>
  <si>
    <t>👉 ANOTE AQUI: compras, alimentação fora, uber, café, roupas, presentes... TUDO que não é fixo. Cada real anotado deduz do seu saldo!</t>
  </si>
  <si>
    <t>Descrição da Despesa</t>
  </si>
  <si>
    <t>Forma Pgto</t>
  </si>
  <si>
    <t>Obs</t>
  </si>
  <si>
    <t>TOTAL DESPESAS VARIÁVEIS</t>
  </si>
  <si>
    <t>🏦 SALDO FINAL DO MÊS</t>
  </si>
  <si>
    <t>💵 RECEITAS POR FONTE</t>
  </si>
  <si>
    <t>💸 DESPESAS POR CATEGORIA</t>
  </si>
  <si>
    <t>Fonte</t>
  </si>
  <si>
    <t>% Total</t>
  </si>
  <si>
    <t>% Desp.</t>
  </si>
  <si>
    <t>📅 FEVEREIRO 2026 — CONTROLE COMPLETO</t>
  </si>
  <si>
    <t>Auxilio Maternidade</t>
  </si>
  <si>
    <t>Governo</t>
  </si>
  <si>
    <t>Incomum</t>
  </si>
  <si>
    <t>13/02/2026</t>
  </si>
  <si>
    <t>Cataliad</t>
  </si>
  <si>
    <t>Renda variável / mês</t>
  </si>
  <si>
    <t>14/02/2026</t>
  </si>
  <si>
    <t>Cataliad (parcela pensemed)</t>
  </si>
  <si>
    <t>16/02/2026</t>
  </si>
  <si>
    <t>Bolsa família</t>
  </si>
  <si>
    <t>Renda fixa</t>
  </si>
  <si>
    <t>❌</t>
  </si>
  <si>
    <t>Moto Taxi (ontem e hoje)</t>
  </si>
  <si>
    <t>Pix</t>
  </si>
  <si>
    <t>Gasto incomum</t>
  </si>
  <si>
    <t>Biscoito para Aurora</t>
  </si>
  <si>
    <t>2 Hambúrguer Chefão - Gordin</t>
  </si>
  <si>
    <t>Moto taxi levar aurora no hospital</t>
  </si>
  <si>
    <t xml:space="preserve">Remédios Aurora tosse e garganta </t>
  </si>
  <si>
    <t>Lanche</t>
  </si>
  <si>
    <t>Sebastião (Papelada)</t>
  </si>
  <si>
    <t>Documentação</t>
  </si>
  <si>
    <t>Moto taxi ir no supermercado</t>
  </si>
  <si>
    <t>Supermercado</t>
  </si>
  <si>
    <t xml:space="preserve">Meia </t>
  </si>
  <si>
    <t>Frauda</t>
  </si>
  <si>
    <t>Ensaio fotográfico Débora</t>
  </si>
  <si>
    <t>Lazer</t>
  </si>
  <si>
    <t>Açaí</t>
  </si>
  <si>
    <t>15/02/2026</t>
  </si>
  <si>
    <t>Neuton compras</t>
  </si>
  <si>
    <t>Almoço</t>
  </si>
  <si>
    <t>Lanche + refri</t>
  </si>
  <si>
    <t>Valdivino débito</t>
  </si>
  <si>
    <t>Ensaio fotográfico Débora (restante)</t>
  </si>
  <si>
    <t>📅 MARÇO 2026 — CONTROLE COMPLETO</t>
  </si>
  <si>
    <t>📅 ABRIL 2026 — CONTROLE COMPLETO</t>
  </si>
  <si>
    <t>📅 MAIO 2026 — CONTROLE COMPLETO</t>
  </si>
  <si>
    <t>📅 JUNHO 2026 — CONTROLE COMPLETO</t>
  </si>
  <si>
    <t>📅 JULHO 2026 — CONTROLE COMPLETO</t>
  </si>
  <si>
    <t>📅 AGOSTO 2026 — CONTROLE COMPLETO</t>
  </si>
  <si>
    <t>📅 SETEMBRO 2026 — CONTROLE COMPLETO</t>
  </si>
  <si>
    <t>📅 OUTUBRO 2026 — CONTROLE COMPLETO</t>
  </si>
  <si>
    <t>📅 NOVEMBRO 2026 — CONTROLE COMPLETO</t>
  </si>
  <si>
    <t>📅 DEZEMBRO 2026 — CONTROLE COMPLETO</t>
  </si>
  <si>
    <t>🔬 RAIO-X FINANCEIRO ANUAL — ANÁLISE TOTAL</t>
  </si>
  <si>
    <t>💵 RECEITAS POR FONTE — EVOLUÇÃO MENSAL</t>
  </si>
  <si>
    <t>💸 DESPESAS POR CATEGORIA — EVOLUÇÃO MENSAL</t>
  </si>
  <si>
    <t>🏺 JARROS — EVOLUÇÃO MENSAL</t>
  </si>
  <si>
    <t>🏠 NEC</t>
  </si>
  <si>
    <t>💎 CFL</t>
  </si>
  <si>
    <t>🏦 PELP</t>
  </si>
  <si>
    <t>📚 EDU</t>
  </si>
  <si>
    <t>🎉 DIV</t>
  </si>
  <si>
    <t>🤝 DOA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</si>
</sst>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R$ &quot;#,##0.00;&quot;(R$ &quot;#,##0.00\);\-"/>
    <numFmt numFmtId="165" formatCode="0.0%"/>
    <numFmt numFmtId="166" formatCode="mm/dd/yyyy"/>
  </numFmts>
  <fonts count="35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3.0"/>
      <color rgb="FFFFFFFF"/>
      <name val="Arial"/>
    </font>
    <font>
      <b/>
      <sz val="16.0"/>
      <color rgb="FF059669"/>
      <name val="Arial"/>
    </font>
    <font>
      <b/>
      <sz val="16.0"/>
      <color rgb="FF2563EB"/>
      <name val="Arial"/>
    </font>
    <font>
      <b/>
      <sz val="16.0"/>
      <color rgb="FFDC2626"/>
      <name val="Arial"/>
    </font>
    <font>
      <b/>
      <sz val="16.0"/>
      <color rgb="FF7C3AED"/>
      <name val="Arial"/>
    </font>
    <font>
      <b/>
      <sz val="10.0"/>
      <color rgb="FFFFFFFF"/>
      <name val="Arial"/>
    </font>
    <font>
      <b/>
      <sz val="10.0"/>
      <color rgb="FF0F172A"/>
      <name val="Arial"/>
    </font>
    <font>
      <sz val="10.0"/>
      <color rgb="FF0F172A"/>
      <name val="Arial"/>
    </font>
    <font>
      <sz val="7.0"/>
      <color rgb="FF94A3B8"/>
      <name val="Arial"/>
    </font>
    <font>
      <b/>
      <sz val="10.0"/>
      <color rgb="FF059669"/>
      <name val="Arial"/>
    </font>
    <font>
      <b/>
      <sz val="9.0"/>
      <color rgb="FFFFFFFF"/>
      <name val="Arial"/>
    </font>
    <font>
      <b/>
      <sz val="10.0"/>
      <color rgb="FFDC2626"/>
      <name val="Arial"/>
    </font>
    <font>
      <b/>
      <sz val="10.0"/>
      <color rgb="FF2563EB"/>
      <name val="Arial"/>
    </font>
    <font>
      <sz val="10.0"/>
      <color rgb="FF0000FF"/>
      <name val="Arial"/>
    </font>
    <font>
      <b/>
      <sz val="9.0"/>
      <color rgb="FF0F172A"/>
      <name val="Arial"/>
    </font>
    <font>
      <sz val="9.0"/>
      <color rgb="FF0F172A"/>
      <name val="Arial"/>
    </font>
    <font>
      <sz val="10.0"/>
      <color rgb="FF94A3B8"/>
      <name val="Arial"/>
    </font>
    <font>
      <i/>
      <sz val="9.0"/>
      <color rgb="FF94A3B8"/>
      <name val="Arial"/>
    </font>
    <font>
      <sz val="9.0"/>
      <color rgb="FF94A3B8"/>
      <name val="Arial"/>
    </font>
    <font>
      <sz val="14.0"/>
      <color rgb="FF0F172A"/>
      <name val="Arial"/>
    </font>
    <font>
      <i/>
      <sz val="9.0"/>
      <color rgb="FFD97706"/>
      <name val="Arial"/>
    </font>
    <font>
      <sz val="12.0"/>
      <color rgb="FF0F172A"/>
      <name val="Arial"/>
    </font>
    <font>
      <b/>
      <sz val="12.0"/>
      <color rgb="FF059669"/>
      <name val="Arial"/>
    </font>
    <font>
      <sz val="1.0"/>
      <color rgb="FFECFDF5"/>
      <name val="Arial"/>
    </font>
    <font>
      <b/>
      <sz val="10.0"/>
      <color rgb="FFD97706"/>
      <name val="Arial"/>
    </font>
    <font>
      <sz val="1.0"/>
      <color rgb="FFFFFFFF"/>
      <name val="Arial"/>
    </font>
    <font>
      <b/>
      <sz val="14.0"/>
      <color rgb="FFFFFFFF"/>
      <name val="Arial"/>
    </font>
    <font>
      <b/>
      <sz val="16.0"/>
      <color rgb="FFFFFFFF"/>
      <name val="Arial"/>
    </font>
    <font>
      <sz val="1.0"/>
      <color rgb="FF059669"/>
      <name val="Arial"/>
    </font>
    <font>
      <b/>
      <sz val="12.0"/>
      <color rgb="FFFFFFFF"/>
      <name val="Arial"/>
    </font>
    <font>
      <b/>
      <sz val="20.0"/>
      <color rgb="FFFFFFFF"/>
      <name val="Arial"/>
    </font>
    <font>
      <sz val="8.0"/>
      <color rgb="FF94A3B8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059669"/>
        <bgColor rgb="FF059669"/>
      </patternFill>
    </fill>
    <fill>
      <patternFill patternType="solid">
        <fgColor rgb="FF2563EB"/>
        <bgColor rgb="FF2563EB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1E293B"/>
        <bgColor rgb="FF1E293B"/>
      </patternFill>
    </fill>
    <fill>
      <patternFill patternType="solid">
        <fgColor rgb="FFD97706"/>
        <bgColor rgb="FFD97706"/>
      </patternFill>
    </fill>
    <fill>
      <patternFill patternType="solid">
        <fgColor rgb="FF0D9488"/>
        <bgColor rgb="FF0D9488"/>
      </patternFill>
    </fill>
    <fill>
      <patternFill patternType="solid">
        <fgColor rgb="FFEFF6FF"/>
        <bgColor rgb="FFEFF6FF"/>
      </patternFill>
    </fill>
    <fill>
      <patternFill patternType="solid">
        <fgColor rgb="FFFFFBEB"/>
        <bgColor rgb="FFFFFBEB"/>
      </patternFill>
    </fill>
    <fill>
      <patternFill patternType="solid">
        <fgColor rgb="FFECFDF5"/>
        <bgColor rgb="FFECFDF5"/>
      </patternFill>
    </fill>
    <fill>
      <patternFill patternType="solid">
        <fgColor rgb="FFFEF2F2"/>
        <bgColor rgb="FFFEF2F2"/>
      </patternFill>
    </fill>
  </fills>
  <borders count="11">
    <border/>
    <border>
      <left style="thin">
        <color rgb="FFE2E8F0"/>
      </left>
      <top style="thin">
        <color rgb="FFE2E8F0"/>
      </top>
    </border>
    <border>
      <top style="thin">
        <color rgb="FFE2E8F0"/>
      </top>
    </border>
    <border>
      <right style="thin">
        <color rgb="FFE2E8F0"/>
      </right>
      <top style="thin">
        <color rgb="FFE2E8F0"/>
      </top>
    </border>
    <border>
      <left style="thin">
        <color rgb="FFE2E8F0"/>
      </left>
      <bottom style="thin">
        <color rgb="FFE2E8F0"/>
      </bottom>
    </border>
    <border>
      <bottom style="thin">
        <color rgb="FFE2E8F0"/>
      </bottom>
    </border>
    <border>
      <right style="thin">
        <color rgb="FFE2E8F0"/>
      </right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7" fillId="4" fontId="3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ill="1" applyFont="1">
      <alignment horizontal="center" shrinkToFit="0" vertical="center" wrapText="1"/>
    </xf>
    <xf borderId="7" fillId="6" fontId="3" numFmtId="0" xfId="0" applyAlignment="1" applyBorder="1" applyFill="1" applyFont="1">
      <alignment horizontal="center" shrinkToFit="0" vertical="center" wrapText="1"/>
    </xf>
    <xf borderId="7" fillId="7" fontId="4" numFmtId="164" xfId="0" applyAlignment="1" applyBorder="1" applyFill="1" applyFont="1" applyNumberFormat="1">
      <alignment horizontal="center" shrinkToFit="0" vertical="center" wrapText="1"/>
    </xf>
    <xf borderId="7" fillId="7" fontId="5" numFmtId="164" xfId="0" applyAlignment="1" applyBorder="1" applyFont="1" applyNumberFormat="1">
      <alignment horizontal="center" shrinkToFit="0" vertical="center" wrapText="1"/>
    </xf>
    <xf borderId="7" fillId="7" fontId="6" numFmtId="164" xfId="0" applyAlignment="1" applyBorder="1" applyFont="1" applyNumberFormat="1">
      <alignment horizontal="center" shrinkToFit="0" vertical="center" wrapText="1"/>
    </xf>
    <xf borderId="7" fillId="7" fontId="7" numFmtId="165" xfId="0" applyAlignment="1" applyBorder="1" applyFont="1" applyNumberForma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0" fillId="8" fontId="9" numFmtId="0" xfId="0" applyAlignment="1" applyBorder="1" applyFill="1" applyFont="1">
      <alignment horizontal="left" shrinkToFit="0" vertical="center" wrapText="1"/>
    </xf>
    <xf borderId="10" fillId="7" fontId="10" numFmtId="164" xfId="0" applyAlignment="1" applyBorder="1" applyFont="1" applyNumberFormat="1">
      <alignment horizontal="right" shrinkToFit="0" vertical="center" wrapText="0"/>
    </xf>
    <xf borderId="10" fillId="7" fontId="9" numFmtId="164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shrinkToFit="0" vertical="bottom" wrapText="0"/>
    </xf>
    <xf borderId="10" fillId="7" fontId="9" numFmtId="0" xfId="0" applyAlignment="1" applyBorder="1" applyFont="1">
      <alignment horizontal="left" shrinkToFit="0" vertical="center" wrapText="1"/>
    </xf>
    <xf borderId="10" fillId="7" fontId="10" numFmtId="0" xfId="0" applyAlignment="1" applyBorder="1" applyFont="1">
      <alignment horizontal="left" shrinkToFit="0" vertical="center" wrapText="1"/>
    </xf>
    <xf borderId="10" fillId="8" fontId="10" numFmtId="0" xfId="0" applyAlignment="1" applyBorder="1" applyFont="1">
      <alignment horizontal="left" shrinkToFit="0" vertical="center" wrapText="1"/>
    </xf>
    <xf borderId="10" fillId="3" fontId="8" numFmtId="0" xfId="0" applyAlignment="1" applyBorder="1" applyFont="1">
      <alignment horizontal="left" shrinkToFit="0" vertical="center" wrapText="1"/>
    </xf>
    <xf borderId="10" fillId="7" fontId="12" numFmtId="164" xfId="0" applyAlignment="1" applyBorder="1" applyFont="1" applyNumberFormat="1">
      <alignment horizontal="right" shrinkToFit="0" vertical="center" wrapText="0"/>
    </xf>
    <xf borderId="10" fillId="9" fontId="13" numFmtId="0" xfId="0" applyAlignment="1" applyBorder="1" applyFill="1" applyFont="1">
      <alignment horizontal="center" shrinkToFit="0" vertical="center" wrapText="1"/>
    </xf>
    <xf borderId="10" fillId="5" fontId="8" numFmtId="0" xfId="0" applyAlignment="1" applyBorder="1" applyFont="1">
      <alignment horizontal="left" shrinkToFit="0" vertical="center" wrapText="1"/>
    </xf>
    <xf borderId="10" fillId="10" fontId="8" numFmtId="0" xfId="0" applyAlignment="1" applyBorder="1" applyFill="1" applyFont="1">
      <alignment horizontal="left" shrinkToFit="0" vertical="center" wrapText="1"/>
    </xf>
    <xf borderId="10" fillId="4" fontId="8" numFmtId="0" xfId="0" applyAlignment="1" applyBorder="1" applyFont="1">
      <alignment horizontal="left" shrinkToFit="0" vertical="center" wrapText="1"/>
    </xf>
    <xf borderId="10" fillId="6" fontId="8" numFmtId="0" xfId="0" applyAlignment="1" applyBorder="1" applyFont="1">
      <alignment horizontal="left" shrinkToFit="0" vertical="center" wrapText="1"/>
    </xf>
    <xf borderId="10" fillId="7" fontId="10" numFmtId="165" xfId="0" applyAlignment="1" applyBorder="1" applyFont="1" applyNumberFormat="1">
      <alignment horizontal="right" shrinkToFit="0" vertical="center" wrapText="0"/>
    </xf>
    <xf borderId="10" fillId="7" fontId="9" numFmtId="165" xfId="0" applyAlignment="1" applyBorder="1" applyFont="1" applyNumberFormat="1">
      <alignment horizontal="right" shrinkToFit="0" vertical="center" wrapText="0"/>
    </xf>
    <xf borderId="10" fillId="7" fontId="9" numFmtId="0" xfId="0" applyAlignment="1" applyBorder="1" applyFont="1">
      <alignment horizontal="center" shrinkToFit="0" vertical="center" wrapText="1"/>
    </xf>
    <xf borderId="10" fillId="7" fontId="14" numFmtId="164" xfId="0" applyAlignment="1" applyBorder="1" applyFont="1" applyNumberFormat="1">
      <alignment horizontal="right" shrinkToFit="0" vertical="center" wrapText="0"/>
    </xf>
    <xf borderId="10" fillId="5" fontId="10" numFmtId="0" xfId="0" applyAlignment="1" applyBorder="1" applyFont="1">
      <alignment horizontal="center" shrinkToFit="0" vertical="center" wrapText="1"/>
    </xf>
    <xf borderId="10" fillId="7" fontId="15" numFmtId="164" xfId="0" applyAlignment="1" applyBorder="1" applyFont="1" applyNumberFormat="1">
      <alignment horizontal="right" shrinkToFit="0" vertical="center" wrapText="0"/>
    </xf>
    <xf borderId="10" fillId="7" fontId="16" numFmtId="164" xfId="0" applyAlignment="1" applyBorder="1" applyFont="1" applyNumberFormat="1">
      <alignment horizontal="right" shrinkToFit="0" vertical="center" wrapText="0"/>
    </xf>
    <xf borderId="10" fillId="7" fontId="12" numFmtId="165" xfId="0" applyAlignment="1" applyBorder="1" applyFont="1" applyNumberFormat="1">
      <alignment horizontal="right" shrinkToFit="0" vertical="center" wrapText="0"/>
    </xf>
    <xf borderId="10" fillId="7" fontId="17" numFmtId="0" xfId="0" applyAlignment="1" applyBorder="1" applyFont="1">
      <alignment horizontal="center" shrinkToFit="0" vertical="center" wrapText="1"/>
    </xf>
    <xf borderId="10" fillId="7" fontId="18" numFmtId="0" xfId="0" applyAlignment="1" applyBorder="1" applyFont="1">
      <alignment horizontal="center" shrinkToFit="0" vertical="center" wrapText="1"/>
    </xf>
    <xf borderId="10" fillId="11" fontId="8" numFmtId="0" xfId="0" applyAlignment="1" applyBorder="1" applyFill="1" applyFont="1">
      <alignment horizontal="left" shrinkToFit="0" vertical="center" wrapText="1"/>
    </xf>
    <xf borderId="10" fillId="8" fontId="19" numFmtId="0" xfId="0" applyAlignment="1" applyBorder="1" applyFont="1">
      <alignment horizontal="center" shrinkToFit="0" vertical="center" wrapText="1"/>
    </xf>
    <xf borderId="10" fillId="12" fontId="16" numFmtId="164" xfId="0" applyAlignment="1" applyBorder="1" applyFill="1" applyFont="1" applyNumberFormat="1">
      <alignment horizontal="right" readingOrder="0" shrinkToFit="0" vertical="center" wrapText="0"/>
    </xf>
    <xf borderId="10" fillId="7" fontId="20" numFmtId="0" xfId="0" applyAlignment="1" applyBorder="1" applyFont="1">
      <alignment horizontal="left" shrinkToFit="0" vertical="center" wrapText="1"/>
    </xf>
    <xf borderId="10" fillId="7" fontId="19" numFmtId="0" xfId="0" applyAlignment="1" applyBorder="1" applyFont="1">
      <alignment horizontal="center" shrinkToFit="0" vertical="center" wrapText="1"/>
    </xf>
    <xf borderId="10" fillId="12" fontId="16" numFmtId="164" xfId="0" applyAlignment="1" applyBorder="1" applyFont="1" applyNumberFormat="1">
      <alignment horizontal="right" shrinkToFit="0" vertical="center" wrapText="0"/>
    </xf>
    <xf borderId="10" fillId="12" fontId="16" numFmtId="0" xfId="0" applyAlignment="1" applyBorder="1" applyFont="1">
      <alignment horizontal="left" shrinkToFit="0" vertical="center" wrapText="1"/>
    </xf>
    <xf borderId="10" fillId="12" fontId="16" numFmtId="0" xfId="0" applyAlignment="1" applyBorder="1" applyFont="1">
      <alignment horizontal="center" shrinkToFit="0" vertical="center" wrapText="1"/>
    </xf>
    <xf borderId="10" fillId="7" fontId="21" numFmtId="0" xfId="0" applyAlignment="1" applyBorder="1" applyFont="1">
      <alignment horizontal="left" shrinkToFit="0" vertical="center" wrapText="1"/>
    </xf>
    <xf borderId="10" fillId="4" fontId="22" numFmtId="0" xfId="0" applyAlignment="1" applyBorder="1" applyFont="1">
      <alignment horizontal="center" shrinkToFit="0" vertical="center" wrapText="1"/>
    </xf>
    <xf borderId="10" fillId="12" fontId="16" numFmtId="165" xfId="0" applyAlignment="1" applyBorder="1" applyFont="1" applyNumberFormat="1">
      <alignment horizontal="right" shrinkToFit="0" vertical="center" wrapText="0"/>
    </xf>
    <xf borderId="10" fillId="7" fontId="23" numFmtId="0" xfId="0" applyAlignment="1" applyBorder="1" applyFont="1">
      <alignment horizontal="left" shrinkToFit="0" vertical="center" wrapText="1"/>
    </xf>
    <xf borderId="10" fillId="3" fontId="22" numFmtId="0" xfId="0" applyAlignment="1" applyBorder="1" applyFont="1">
      <alignment horizontal="center" shrinkToFit="0" vertical="center" wrapText="1"/>
    </xf>
    <xf borderId="10" fillId="6" fontId="22" numFmtId="0" xfId="0" applyAlignment="1" applyBorder="1" applyFont="1">
      <alignment horizontal="center" shrinkToFit="0" vertical="center" wrapText="1"/>
    </xf>
    <xf borderId="10" fillId="10" fontId="22" numFmtId="0" xfId="0" applyAlignment="1" applyBorder="1" applyFont="1">
      <alignment horizontal="center" shrinkToFit="0" vertical="center" wrapText="1"/>
    </xf>
    <xf borderId="10" fillId="5" fontId="22" numFmtId="0" xfId="0" applyAlignment="1" applyBorder="1" applyFont="1">
      <alignment horizontal="center" shrinkToFit="0" vertical="center" wrapText="1"/>
    </xf>
    <xf borderId="10" fillId="11" fontId="22" numFmtId="0" xfId="0" applyAlignment="1" applyBorder="1" applyFont="1">
      <alignment horizontal="center" shrinkToFit="0" vertical="center" wrapText="1"/>
    </xf>
    <xf borderId="10" fillId="2" fontId="24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left" shrinkToFit="0" vertical="center" wrapText="1"/>
    </xf>
    <xf borderId="10" fillId="13" fontId="14" numFmtId="0" xfId="0" applyAlignment="1" applyBorder="1" applyFill="1" applyFont="1">
      <alignment horizontal="left" shrinkToFit="0" vertical="center" wrapText="1"/>
    </xf>
    <xf borderId="10" fillId="12" fontId="16" numFmtId="0" xfId="0" applyAlignment="1" applyBorder="1" applyFont="1">
      <alignment horizontal="left" readingOrder="0" shrinkToFit="0" vertical="center" wrapText="1"/>
    </xf>
    <xf borderId="10" fillId="12" fontId="16" numFmtId="164" xfId="0" applyAlignment="1" applyBorder="1" applyFont="1" applyNumberFormat="1">
      <alignment horizontal="center" readingOrder="0" shrinkToFit="0" vertical="center" wrapText="1"/>
    </xf>
    <xf borderId="10" fillId="12" fontId="16" numFmtId="0" xfId="0" applyAlignment="1" applyBorder="1" applyFont="1">
      <alignment horizontal="center" readingOrder="0" shrinkToFit="0" vertical="center" wrapText="1"/>
    </xf>
    <xf borderId="10" fillId="12" fontId="16" numFmtId="164" xfId="0" applyAlignment="1" applyBorder="1" applyFont="1" applyNumberFormat="1">
      <alignment horizontal="center" shrinkToFit="0" vertical="center" wrapText="1"/>
    </xf>
    <xf borderId="10" fillId="5" fontId="24" numFmtId="0" xfId="0" applyAlignment="1" applyBorder="1" applyFont="1">
      <alignment horizontal="center" shrinkToFit="0" vertical="center" wrapText="1"/>
    </xf>
    <xf borderId="10" fillId="5" fontId="8" numFmtId="164" xfId="0" applyAlignment="1" applyBorder="1" applyFont="1" applyNumberFormat="1">
      <alignment horizontal="right" shrinkToFit="0" vertical="center" wrapText="0"/>
    </xf>
    <xf borderId="10" fillId="5" fontId="8" numFmtId="0" xfId="0" applyAlignment="1" applyBorder="1" applyFont="1">
      <alignment horizontal="center" shrinkToFit="0" vertical="center" wrapText="1"/>
    </xf>
    <xf borderId="10" fillId="5" fontId="8" numFmtId="165" xfId="0" applyAlignment="1" applyBorder="1" applyFont="1" applyNumberForma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0" fillId="14" fontId="12" numFmtId="0" xfId="0" applyAlignment="1" applyBorder="1" applyFont="1">
      <alignment horizontal="left" shrinkToFit="0" vertical="center" wrapText="1"/>
    </xf>
    <xf borderId="10" fillId="14" fontId="25" numFmtId="164" xfId="0" applyAlignment="1" applyBorder="1" applyFont="1" applyNumberFormat="1">
      <alignment horizontal="right" shrinkToFit="0" vertical="center" wrapText="0"/>
    </xf>
    <xf borderId="10" fillId="14" fontId="26" numFmtId="164" xfId="0" applyAlignment="1" applyBorder="1" applyFont="1" applyNumberFormat="1">
      <alignment horizontal="center" shrinkToFit="0" vertical="center" wrapText="1"/>
    </xf>
    <xf borderId="10" fillId="4" fontId="24" numFmtId="0" xfId="0" applyAlignment="1" applyBorder="1" applyFont="1">
      <alignment horizontal="center" shrinkToFit="0" vertical="center" wrapText="1"/>
    </xf>
    <xf borderId="10" fillId="4" fontId="13" numFmtId="0" xfId="0" applyAlignment="1" applyBorder="1" applyFont="1">
      <alignment horizontal="left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0" fillId="7" fontId="10" numFmtId="164" xfId="0" applyAlignment="1" applyBorder="1" applyFont="1" applyNumberFormat="1">
      <alignment horizontal="center" shrinkToFit="0" vertical="center" wrapText="1"/>
    </xf>
    <xf borderId="10" fillId="3" fontId="24" numFmtId="0" xfId="0" applyAlignment="1" applyBorder="1" applyFont="1">
      <alignment horizontal="center" shrinkToFit="0" vertical="center" wrapText="1"/>
    </xf>
    <xf borderId="10" fillId="3" fontId="13" numFmtId="0" xfId="0" applyAlignment="1" applyBorder="1" applyFont="1">
      <alignment horizontal="left" shrinkToFit="0" vertical="center" wrapText="1"/>
    </xf>
    <xf borderId="10" fillId="6" fontId="24" numFmtId="0" xfId="0" applyAlignment="1" applyBorder="1" applyFont="1">
      <alignment horizontal="center" shrinkToFit="0" vertical="center" wrapText="1"/>
    </xf>
    <xf borderId="10" fillId="6" fontId="13" numFmtId="0" xfId="0" applyAlignment="1" applyBorder="1" applyFont="1">
      <alignment horizontal="left" shrinkToFit="0" vertical="center" wrapText="1"/>
    </xf>
    <xf borderId="10" fillId="7" fontId="27" numFmtId="164" xfId="0" applyAlignment="1" applyBorder="1" applyFont="1" applyNumberFormat="1">
      <alignment horizontal="right" shrinkToFit="0" vertical="center" wrapText="0"/>
    </xf>
    <xf borderId="10" fillId="10" fontId="24" numFmtId="0" xfId="0" applyAlignment="1" applyBorder="1" applyFont="1">
      <alignment horizontal="center" shrinkToFit="0" vertical="center" wrapText="1"/>
    </xf>
    <xf borderId="10" fillId="10" fontId="13" numFmtId="0" xfId="0" applyAlignment="1" applyBorder="1" applyFont="1">
      <alignment horizontal="left" shrinkToFit="0" vertical="center" wrapText="1"/>
    </xf>
    <xf borderId="0" fillId="0" fontId="28" numFmtId="164" xfId="0" applyAlignment="1" applyFont="1" applyNumberFormat="1">
      <alignment shrinkToFit="0" vertical="bottom" wrapText="0"/>
    </xf>
    <xf borderId="10" fillId="15" fontId="10" numFmtId="0" xfId="0" applyAlignment="1" applyBorder="1" applyFill="1" applyFont="1">
      <alignment horizontal="center" shrinkToFit="0" vertical="center" wrapText="1"/>
    </xf>
    <xf borderId="10" fillId="15" fontId="14" numFmtId="0" xfId="0" applyAlignment="1" applyBorder="1" applyFont="1">
      <alignment horizontal="left" shrinkToFit="0" vertical="center" wrapText="1"/>
    </xf>
    <xf borderId="10" fillId="15" fontId="14" numFmtId="165" xfId="0" applyAlignment="1" applyBorder="1" applyFont="1" applyNumberFormat="1">
      <alignment horizontal="center" shrinkToFit="0" vertical="center" wrapText="1"/>
    </xf>
    <xf borderId="10" fillId="5" fontId="13" numFmtId="0" xfId="0" applyAlignment="1" applyBorder="1" applyFont="1">
      <alignment horizontal="left" shrinkToFit="0" vertical="center" wrapText="1"/>
    </xf>
    <xf borderId="10" fillId="12" fontId="10" numFmtId="0" xfId="0" applyAlignment="1" applyBorder="1" applyFont="1">
      <alignment horizontal="center" shrinkToFit="0" vertical="center" wrapText="1"/>
    </xf>
    <xf borderId="10" fillId="12" fontId="15" numFmtId="0" xfId="0" applyAlignment="1" applyBorder="1" applyFont="1">
      <alignment horizontal="left" shrinkToFit="0" vertical="center" wrapText="1"/>
    </xf>
    <xf borderId="10" fillId="12" fontId="15" numFmtId="165" xfId="0" applyAlignment="1" applyBorder="1" applyFont="1" applyNumberFormat="1">
      <alignment horizontal="center" shrinkToFit="0" vertical="center" wrapText="1"/>
    </xf>
    <xf borderId="10" fillId="11" fontId="24" numFmtId="0" xfId="0" applyAlignment="1" applyBorder="1" applyFont="1">
      <alignment horizontal="center" shrinkToFit="0" vertical="center" wrapText="1"/>
    </xf>
    <xf borderId="10" fillId="11" fontId="13" numFmtId="0" xfId="0" applyAlignment="1" applyBorder="1" applyFont="1">
      <alignment horizontal="left" shrinkToFit="0" vertical="center" wrapText="1"/>
    </xf>
    <xf borderId="10" fillId="3" fontId="29" numFmtId="0" xfId="0" applyAlignment="1" applyBorder="1" applyFont="1">
      <alignment horizontal="left" shrinkToFit="0" vertical="center" wrapText="1"/>
    </xf>
    <xf borderId="10" fillId="3" fontId="30" numFmtId="164" xfId="0" applyAlignment="1" applyBorder="1" applyFont="1" applyNumberFormat="1">
      <alignment horizontal="right" shrinkToFit="0" vertical="center" wrapText="0"/>
    </xf>
    <xf borderId="10" fillId="3" fontId="31" numFmtId="164" xfId="0" applyAlignment="1" applyBorder="1" applyFont="1" applyNumberFormat="1">
      <alignment horizontal="center" shrinkToFit="0" vertical="center" wrapText="1"/>
    </xf>
    <xf borderId="10" fillId="14" fontId="21" numFmtId="0" xfId="0" applyAlignment="1" applyBorder="1" applyFont="1">
      <alignment horizontal="center" shrinkToFit="0" vertical="center" wrapText="1"/>
    </xf>
    <xf borderId="10" fillId="14" fontId="12" numFmtId="164" xfId="0" applyAlignment="1" applyBorder="1" applyFont="1" applyNumberFormat="1">
      <alignment horizontal="right" shrinkToFit="0" vertical="center" wrapText="0"/>
    </xf>
    <xf borderId="10" fillId="7" fontId="21" numFmtId="0" xfId="0" applyAlignment="1" applyBorder="1" applyFont="1">
      <alignment horizontal="center" shrinkToFit="0" vertical="center" wrapText="1"/>
    </xf>
    <xf borderId="7" fillId="3" fontId="32" numFmtId="0" xfId="0" applyAlignment="1" applyBorder="1" applyFont="1">
      <alignment horizontal="left" shrinkToFit="0" vertical="center" wrapText="1"/>
    </xf>
    <xf borderId="10" fillId="3" fontId="29" numFmtId="164" xfId="0" applyAlignment="1" applyBorder="1" applyFont="1" applyNumberFormat="1">
      <alignment horizontal="right" shrinkToFit="0" vertical="center" wrapText="0"/>
    </xf>
    <xf borderId="10" fillId="3" fontId="10" numFmtId="0" xfId="0" applyAlignment="1" applyBorder="1" applyFont="1">
      <alignment horizontal="center" shrinkToFit="0" vertical="center" wrapText="1"/>
    </xf>
    <xf borderId="10" fillId="15" fontId="21" numFmtId="0" xfId="0" applyAlignment="1" applyBorder="1" applyFont="1">
      <alignment horizontal="center" shrinkToFit="0" vertical="center" wrapText="1"/>
    </xf>
    <xf borderId="7" fillId="5" fontId="32" numFmtId="0" xfId="0" applyAlignment="1" applyBorder="1" applyFont="1">
      <alignment horizontal="left" shrinkToFit="0" vertical="center" wrapText="1"/>
    </xf>
    <xf borderId="10" fillId="5" fontId="29" numFmtId="164" xfId="0" applyAlignment="1" applyBorder="1" applyFont="1" applyNumberFormat="1">
      <alignment horizontal="right" shrinkToFit="0" vertical="center" wrapText="0"/>
    </xf>
    <xf borderId="7" fillId="10" fontId="3" numFmtId="0" xfId="0" applyAlignment="1" applyBorder="1" applyFont="1">
      <alignment horizontal="center" shrinkToFit="0" vertical="center" wrapText="1"/>
    </xf>
    <xf borderId="7" fillId="13" fontId="27" numFmtId="0" xfId="0" applyAlignment="1" applyBorder="1" applyFont="1">
      <alignment horizontal="left" shrinkToFit="0" vertical="center" wrapText="1"/>
    </xf>
    <xf borderId="10" fillId="13" fontId="21" numFmtId="0" xfId="0" applyAlignment="1" applyBorder="1" applyFont="1">
      <alignment horizontal="center" shrinkToFit="0" vertical="center" wrapText="1"/>
    </xf>
    <xf borderId="10" fillId="15" fontId="14" numFmtId="164" xfId="0" applyAlignment="1" applyBorder="1" applyFont="1" applyNumberFormat="1">
      <alignment horizontal="right" shrinkToFit="0" vertical="center" wrapText="0"/>
    </xf>
    <xf borderId="7" fillId="10" fontId="32" numFmtId="0" xfId="0" applyAlignment="1" applyBorder="1" applyFont="1">
      <alignment horizontal="left" shrinkToFit="0" vertical="center" wrapText="1"/>
    </xf>
    <xf borderId="10" fillId="10" fontId="29" numFmtId="164" xfId="0" applyAlignment="1" applyBorder="1" applyFont="1" applyNumberFormat="1">
      <alignment horizontal="right" shrinkToFit="0" vertical="center" wrapText="0"/>
    </xf>
    <xf borderId="10" fillId="10" fontId="10" numFmtId="0" xfId="0" applyAlignment="1" applyBorder="1" applyFont="1">
      <alignment horizontal="center" shrinkToFit="0" vertical="center" wrapText="1"/>
    </xf>
    <xf borderId="1" fillId="3" fontId="29" numFmtId="0" xfId="0" applyAlignment="1" applyBorder="1" applyFont="1">
      <alignment horizontal="center" shrinkToFit="0" vertical="center" wrapText="1"/>
    </xf>
    <xf borderId="1" fillId="3" fontId="33" numFmtId="164" xfId="0" applyAlignment="1" applyBorder="1" applyFont="1" applyNumberFormat="1">
      <alignment horizontal="center" shrinkToFit="0" vertical="center" wrapText="1"/>
    </xf>
    <xf borderId="1" fillId="3" fontId="32" numFmtId="0" xfId="0" applyAlignment="1" applyBorder="1" applyFont="1">
      <alignment horizontal="center" shrinkToFit="0" vertical="center" wrapText="1"/>
    </xf>
    <xf borderId="10" fillId="8" fontId="34" numFmtId="0" xfId="0" applyAlignment="1" applyBorder="1" applyFont="1">
      <alignment horizontal="left" shrinkToFit="0" vertical="center" wrapText="1"/>
    </xf>
    <xf borderId="10" fillId="7" fontId="34" numFmtId="0" xfId="0" applyAlignment="1" applyBorder="1" applyFont="1">
      <alignment horizontal="left" shrinkToFit="0" vertical="center" wrapText="1"/>
    </xf>
    <xf borderId="10" fillId="12" fontId="16" numFmtId="166" xfId="0" applyAlignment="1" applyBorder="1" applyFont="1" applyNumberFormat="1">
      <alignment horizontal="center" readingOrder="0" shrinkToFit="0" vertical="center" wrapText="1"/>
    </xf>
    <xf borderId="10" fillId="14" fontId="12" numFmtId="164" xfId="0" applyAlignment="1" applyBorder="1" applyFont="1" applyNumberFormat="1">
      <alignment horizontal="right" readingOrder="0" shrinkToFit="0" vertical="center" wrapText="0"/>
    </xf>
    <xf borderId="10" fillId="15" fontId="14" numFmtId="164" xfId="0" applyAlignment="1" applyBorder="1" applyFont="1" applyNumberFormat="1">
      <alignment horizontal="right" readingOrder="0" shrinkToFit="0" vertical="center" wrapText="0"/>
    </xf>
    <xf borderId="10" fillId="3" fontId="8" numFmtId="0" xfId="0" applyAlignment="1" applyBorder="1" applyFont="1">
      <alignment horizontal="center" shrinkToFit="0" vertical="center" wrapText="1"/>
    </xf>
    <xf borderId="10" fillId="4" fontId="8" numFmtId="0" xfId="0" applyAlignment="1" applyBorder="1" applyFont="1">
      <alignment horizontal="center" shrinkToFit="0" vertical="center" wrapText="1"/>
    </xf>
    <xf borderId="10" fillId="6" fontId="8" numFmtId="0" xfId="0" applyAlignment="1" applyBorder="1" applyFont="1">
      <alignment horizontal="center" shrinkToFit="0" vertical="center" wrapText="1"/>
    </xf>
    <xf borderId="10" fillId="10" fontId="8" numFmtId="0" xfId="0" applyAlignment="1" applyBorder="1" applyFont="1">
      <alignment horizontal="center" shrinkToFit="0" vertical="center" wrapText="1"/>
    </xf>
    <xf borderId="10" fillId="11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Origem das Receitas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Painel!$P$9:$P$18</c:f>
            </c:strRef>
          </c:cat>
          <c:val>
            <c:numRef>
              <c:f>Painel!$O$9:$O$18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Entradas vs Saídas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Entradas</c:v>
          </c:tx>
          <c:spPr>
            <a:solidFill>
              <a:srgbClr val="10B981"/>
            </a:solidFill>
            <a:ln cmpd="sng">
              <a:solidFill>
                <a:srgbClr val="000000"/>
              </a:solidFill>
            </a:ln>
          </c:spPr>
          <c:cat>
            <c:strRef>
              <c:f>Painel!$C$22:$N$22</c:f>
            </c:strRef>
          </c:cat>
          <c:val>
            <c:numRef>
              <c:f>Painel!$C$23:$N$23</c:f>
              <c:numCache/>
            </c:numRef>
          </c:val>
        </c:ser>
        <c:ser>
          <c:idx val="1"/>
          <c:order val="1"/>
          <c:tx>
            <c:v>Saídas</c:v>
          </c:tx>
          <c:spPr>
            <a:solidFill>
              <a:srgbClr val="EF4444"/>
            </a:solidFill>
            <a:ln cmpd="sng">
              <a:solidFill>
                <a:srgbClr val="000000"/>
              </a:solidFill>
            </a:ln>
          </c:spPr>
          <c:cat>
            <c:strRef>
              <c:f>Painel!$C$22:$N$22</c:f>
            </c:strRef>
          </c:cat>
          <c:val>
            <c:numRef>
              <c:f>Painel!$C$26:$N$26</c:f>
              <c:numCache/>
            </c:numRef>
          </c:val>
        </c:ser>
        <c:ser>
          <c:idx val="2"/>
          <c:order val="2"/>
          <c:tx>
            <c:v>Saldo</c:v>
          </c:tx>
          <c:spPr>
            <a:solidFill>
              <a:srgbClr val="3B82F6"/>
            </a:solidFill>
            <a:ln cmpd="sng">
              <a:solidFill>
                <a:srgbClr val="000000"/>
              </a:solidFill>
            </a:ln>
          </c:spPr>
          <c:cat>
            <c:strRef>
              <c:f>Painel!$C$22:$N$22</c:f>
            </c:strRef>
          </c:cat>
          <c:val>
            <c:numRef>
              <c:f>Painel!$C$27:$N$27</c:f>
              <c:numCache/>
            </c:numRef>
          </c:val>
        </c:ser>
        <c:axId val="613263888"/>
        <c:axId val="93821486"/>
      </c:barChart>
      <c:catAx>
        <c:axId val="61326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3821486"/>
      </c:catAx>
      <c:valAx>
        <c:axId val="93821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132638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Evolução do Patrimônio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Acumulado</c:v>
          </c:tx>
          <c:spPr>
            <a:ln cmpd="sng" w="28575">
              <a:solidFill>
                <a:srgbClr val="05966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Painel!$C$22:$N$22</c:f>
            </c:strRef>
          </c:cat>
          <c:val>
            <c:numRef>
              <c:f>Painel!$C$28:$N$28</c:f>
              <c:numCache/>
            </c:numRef>
          </c:val>
          <c:smooth val="1"/>
        </c:ser>
        <c:axId val="50837788"/>
        <c:axId val="101689843"/>
      </c:lineChart>
      <c:catAx>
        <c:axId val="50837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1689843"/>
      </c:catAx>
      <c:valAx>
        <c:axId val="101689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8377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Gastos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Painel!$N$36:$N$49</c:f>
            </c:strRef>
          </c:cat>
          <c:val>
            <c:numRef>
              <c:f>Painel!$J$36:$J$49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Jarros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2563EB"/>
              </a:solidFill>
            </c:spPr>
          </c:dPt>
          <c:dPt>
            <c:idx val="1"/>
            <c:spPr>
              <a:solidFill>
                <a:srgbClr val="059669"/>
              </a:solidFill>
            </c:spPr>
          </c:dPt>
          <c:dPt>
            <c:idx val="2"/>
            <c:spPr>
              <a:solidFill>
                <a:srgbClr val="7C3AED"/>
              </a:solidFill>
            </c:spPr>
          </c:dPt>
          <c:dPt>
            <c:idx val="3"/>
            <c:spPr>
              <a:solidFill>
                <a:srgbClr val="D97706"/>
              </a:solidFill>
            </c:spPr>
          </c:dPt>
          <c:dPt>
            <c:idx val="4"/>
            <c:spPr>
              <a:solidFill>
                <a:srgbClr val="DC2626"/>
              </a:solidFill>
            </c:spPr>
          </c:dPt>
          <c:dPt>
            <c:idx val="5"/>
            <c:spPr>
              <a:solidFill>
                <a:srgbClr val="0D9488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Painel!$I$66:$I$71</c:f>
            </c:strRef>
          </c:cat>
          <c:val>
            <c:numRef>
              <c:f>Painel!$D$66:$D$71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Jan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Janeiro!$B$109:$B$118</c:f>
            </c:strRef>
          </c:cat>
          <c:val>
            <c:numRef>
              <c:f>Janeiro!$C$109:$C$118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Jan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Janeiro!$F$109:$F$122</c:f>
            </c:strRef>
          </c:cat>
          <c:val>
            <c:numRef>
              <c:f>Janeiro!$G$109:$G$122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Fev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Fevereiro!$B$109:$B$118</c:f>
            </c:strRef>
          </c:cat>
          <c:val>
            <c:numRef>
              <c:f>Fevereiro!$C$109:$C$118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Fev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Fevereiro!$F$109:$F$122</c:f>
            </c:strRef>
          </c:cat>
          <c:val>
            <c:numRef>
              <c:f>Fevereiro!$G$109:$G$122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Mar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'Março'!$B$109:$B$118</c:f>
            </c:strRef>
          </c:cat>
          <c:val>
            <c:numRef>
              <c:f>'Março'!$C$109:$C$118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Mar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'Março'!$F$109:$F$122</c:f>
            </c:strRef>
          </c:cat>
          <c:val>
            <c:numRef>
              <c:f>'Março'!$G$109:$G$122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Abr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Abril!$B$109:$B$118</c:f>
            </c:strRef>
          </c:cat>
          <c:val>
            <c:numRef>
              <c:f>Abril!$C$109:$C$118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Abr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Abril!$F$109:$F$122</c:f>
            </c:strRef>
          </c:cat>
          <c:val>
            <c:numRef>
              <c:f>Abril!$G$109:$G$122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Mai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Maio!$B$109:$B$118</c:f>
            </c:strRef>
          </c:cat>
          <c:val>
            <c:numRef>
              <c:f>Maio!$C$109:$C$118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Mai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Maio!$F$109:$F$122</c:f>
            </c:strRef>
          </c:cat>
          <c:val>
            <c:numRef>
              <c:f>Maio!$G$109:$G$122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Jun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Junho!$B$109:$B$118</c:f>
            </c:strRef>
          </c:cat>
          <c:val>
            <c:numRef>
              <c:f>Junho!$C$109:$C$118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Jun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Junho!$F$109:$F$122</c:f>
            </c:strRef>
          </c:cat>
          <c:val>
            <c:numRef>
              <c:f>Junho!$G$109:$G$122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Jul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Julho!$B$109:$B$118</c:f>
            </c:strRef>
          </c:cat>
          <c:val>
            <c:numRef>
              <c:f>Julho!$C$109:$C$118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Jul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Julho!$F$109:$F$122</c:f>
            </c:strRef>
          </c:cat>
          <c:val>
            <c:numRef>
              <c:f>Julho!$G$109:$G$122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Ago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Agosto!$B$109:$B$118</c:f>
            </c:strRef>
          </c:cat>
          <c:val>
            <c:numRef>
              <c:f>Agosto!$C$109:$C$118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Ago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Agosto!$F$109:$F$122</c:f>
            </c:strRef>
          </c:cat>
          <c:val>
            <c:numRef>
              <c:f>Agosto!$G$109:$G$122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Set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Setembro!$B$109:$B$118</c:f>
            </c:strRef>
          </c:cat>
          <c:val>
            <c:numRef>
              <c:f>Setembro!$C$109:$C$118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Set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Setembro!$F$109:$F$122</c:f>
            </c:strRef>
          </c:cat>
          <c:val>
            <c:numRef>
              <c:f>Setembro!$G$109:$G$122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Out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Outubro!$B$109:$B$118</c:f>
            </c:strRef>
          </c:cat>
          <c:val>
            <c:numRef>
              <c:f>Outubro!$C$109:$C$118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Out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Outubro!$F$109:$F$122</c:f>
            </c:strRef>
          </c:cat>
          <c:val>
            <c:numRef>
              <c:f>Outubro!$G$109:$G$122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Nov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Novembro!$B$109:$B$118</c:f>
            </c:strRef>
          </c:cat>
          <c:val>
            <c:numRef>
              <c:f>Novembro!$C$109:$C$118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Nov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Novembro!$F$109:$F$122</c:f>
            </c:strRef>
          </c:cat>
          <c:val>
            <c:numRef>
              <c:f>Novembro!$G$109:$G$122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— Dez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Pt>
            <c:idx val="7"/>
            <c:spPr>
              <a:solidFill>
                <a:srgbClr val="D09493"/>
              </a:solidFill>
            </c:spPr>
          </c:dPt>
          <c:dPt>
            <c:idx val="8"/>
            <c:spPr>
              <a:solidFill>
                <a:srgbClr val="B8CD97"/>
              </a:solidFill>
            </c:spPr>
          </c:dPt>
          <c:dPt>
            <c:idx val="9"/>
            <c:spPr>
              <a:solidFill>
                <a:srgbClr val="A99BB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Dezembro!$B$109:$B$118</c:f>
            </c:strRef>
          </c:cat>
          <c:val>
            <c:numRef>
              <c:f>Dezembro!$C$109:$C$118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— Dez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16A9C"/>
              </a:solidFill>
            </c:spPr>
          </c:dPt>
          <c:dPt>
            <c:idx val="1"/>
            <c:spPr>
              <a:solidFill>
                <a:srgbClr val="9F423F"/>
              </a:solidFill>
            </c:spPr>
          </c:dPt>
          <c:dPt>
            <c:idx val="2"/>
            <c:spPr>
              <a:solidFill>
                <a:srgbClr val="809B49"/>
              </a:solidFill>
            </c:spPr>
          </c:dPt>
          <c:dPt>
            <c:idx val="3"/>
            <c:spPr>
              <a:solidFill>
                <a:srgbClr val="6A5286"/>
              </a:solidFill>
            </c:spPr>
          </c:dPt>
          <c:dPt>
            <c:idx val="4"/>
            <c:spPr>
              <a:solidFill>
                <a:srgbClr val="3E8EA4"/>
              </a:solidFill>
            </c:spPr>
          </c:dPt>
          <c:dPt>
            <c:idx val="5"/>
            <c:spPr>
              <a:solidFill>
                <a:srgbClr val="CC7C3A"/>
              </a:solidFill>
            </c:spPr>
          </c:dPt>
          <c:dPt>
            <c:idx val="6"/>
            <c:spPr>
              <a:solidFill>
                <a:srgbClr val="4F81BD"/>
              </a:solidFill>
            </c:spPr>
          </c:dPt>
          <c:dPt>
            <c:idx val="7"/>
            <c:spPr>
              <a:solidFill>
                <a:srgbClr val="C0504D"/>
              </a:solidFill>
            </c:spPr>
          </c:dPt>
          <c:dPt>
            <c:idx val="8"/>
            <c:spPr>
              <a:solidFill>
                <a:srgbClr val="9BBB59"/>
              </a:solidFill>
            </c:spPr>
          </c:dPt>
          <c:dPt>
            <c:idx val="9"/>
            <c:spPr>
              <a:solidFill>
                <a:srgbClr val="8064A2"/>
              </a:solidFill>
            </c:spPr>
          </c:dPt>
          <c:dPt>
            <c:idx val="10"/>
            <c:spPr>
              <a:solidFill>
                <a:srgbClr val="4BACC6"/>
              </a:solidFill>
            </c:spPr>
          </c:dPt>
          <c:dPt>
            <c:idx val="11"/>
            <c:spPr>
              <a:solidFill>
                <a:srgbClr val="F79646"/>
              </a:solidFill>
            </c:spPr>
          </c:dPt>
          <c:dPt>
            <c:idx val="12"/>
            <c:spPr>
              <a:solidFill>
                <a:srgbClr val="AABAD7"/>
              </a:solidFill>
            </c:spPr>
          </c:dPt>
          <c:dPt>
            <c:idx val="13"/>
            <c:spPr>
              <a:solidFill>
                <a:srgbClr val="D8AAA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8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9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Dezembro!$F$109:$F$122</c:f>
            </c:strRef>
          </c:cat>
          <c:val>
            <c:numRef>
              <c:f>Dezembro!$G$109:$G$122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Receitas por Fonte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Salário CLT</c:v>
          </c:tx>
          <c:spPr>
            <a:solidFill>
              <a:srgbClr val="4672A8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Anual'!$C$6:$N$6</c:f>
              <c:numCache/>
            </c:numRef>
          </c:val>
        </c:ser>
        <c:ser>
          <c:idx val="1"/>
          <c:order val="1"/>
          <c:tx>
            <c:v>Freelance / Projetos</c:v>
          </c:tx>
          <c:spPr>
            <a:solidFill>
              <a:srgbClr val="AB4744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Anual'!$C$7:$N$7</c:f>
              <c:numCache/>
            </c:numRef>
          </c:val>
        </c:ser>
        <c:ser>
          <c:idx val="2"/>
          <c:order val="2"/>
          <c:tx>
            <c:v>Vendas Online</c:v>
          </c:tx>
          <c:spPr>
            <a:solidFill>
              <a:srgbClr val="8AA64F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Anual'!$C$8:$N$8</c:f>
              <c:numCache/>
            </c:numRef>
          </c:val>
        </c:ser>
        <c:ser>
          <c:idx val="3"/>
          <c:order val="3"/>
          <c:tx>
            <c:v>Consultoria</c:v>
          </c:tx>
          <c:spPr>
            <a:solidFill>
              <a:srgbClr val="725990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Anual'!$C$9:$N$9</c:f>
              <c:numCache/>
            </c:numRef>
          </c:val>
        </c:ser>
        <c:ser>
          <c:idx val="4"/>
          <c:order val="4"/>
          <c:tx>
            <c:v>Rendimentos / Investimentos</c:v>
          </c:tx>
          <c:spPr>
            <a:solidFill>
              <a:srgbClr val="4299B0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Anual'!$C$10:$N$10</c:f>
              <c:numCache/>
            </c:numRef>
          </c:val>
        </c:ser>
        <c:ser>
          <c:idx val="5"/>
          <c:order val="5"/>
          <c:tx>
            <c:v>Aluguel Recebido</c:v>
          </c:tx>
          <c:spPr>
            <a:solidFill>
              <a:srgbClr val="DC853E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Anual'!$C$11:$N$11</c:f>
              <c:numCache/>
            </c:numRef>
          </c:val>
        </c:ser>
        <c:ser>
          <c:idx val="6"/>
          <c:order val="6"/>
          <c:tx>
            <c:v>Comissões</c:v>
          </c:tx>
          <c:spPr>
            <a:solidFill>
              <a:srgbClr val="93A9CE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Anual'!$C$12:$N$12</c:f>
              <c:numCache/>
            </c:numRef>
          </c:val>
        </c:ser>
        <c:ser>
          <c:idx val="7"/>
          <c:order val="7"/>
          <c:tx>
            <c:v>Bônus / Participação</c:v>
          </c:tx>
          <c:spPr>
            <a:solidFill>
              <a:srgbClr val="D09493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Anual'!$C$13:$N$13</c:f>
              <c:numCache/>
            </c:numRef>
          </c:val>
        </c:ser>
        <c:ser>
          <c:idx val="8"/>
          <c:order val="8"/>
          <c:tx>
            <c:v>Renda Extra / Bico</c:v>
          </c:tx>
          <c:spPr>
            <a:solidFill>
              <a:srgbClr val="B8CD97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Anual'!$C$14:$N$14</c:f>
              <c:numCache/>
            </c:numRef>
          </c:val>
        </c:ser>
        <c:ser>
          <c:idx val="9"/>
          <c:order val="9"/>
          <c:tx>
            <c:v>Outros</c:v>
          </c:tx>
          <c:spPr>
            <a:solidFill>
              <a:srgbClr val="A99BBD"/>
            </a:solidFill>
            <a:ln cmpd="sng">
              <a:solidFill>
                <a:srgbClr val="000000"/>
              </a:solidFill>
            </a:ln>
          </c:spPr>
          <c:cat>
            <c:strRef>
              <c:f>'Raio-X Anual'!$C$5:$N$5</c:f>
            </c:strRef>
          </c:cat>
          <c:val>
            <c:numRef>
              <c:f>'Raio-X Anual'!$C$15:$N$15</c:f>
              <c:numCache/>
            </c:numRef>
          </c:val>
        </c:ser>
        <c:overlap val="100"/>
        <c:axId val="740666892"/>
        <c:axId val="708009918"/>
      </c:barChart>
      <c:catAx>
        <c:axId val="740666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08009918"/>
      </c:catAx>
      <c:valAx>
        <c:axId val="708009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066689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Despesas por Categoria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Moradia</c:v>
          </c:tx>
          <c:spPr>
            <a:solidFill>
              <a:srgbClr val="416A9C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Anual'!$C$37:$N$37</c:f>
              <c:numCache/>
            </c:numRef>
          </c:val>
        </c:ser>
        <c:ser>
          <c:idx val="1"/>
          <c:order val="1"/>
          <c:tx>
            <c:v>Alimentação</c:v>
          </c:tx>
          <c:spPr>
            <a:solidFill>
              <a:srgbClr val="9F423F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Anual'!$C$38:$N$38</c:f>
              <c:numCache/>
            </c:numRef>
          </c:val>
        </c:ser>
        <c:ser>
          <c:idx val="2"/>
          <c:order val="2"/>
          <c:tx>
            <c:v>Transporte</c:v>
          </c:tx>
          <c:spPr>
            <a:solidFill>
              <a:srgbClr val="809B49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Anual'!$C$39:$N$39</c:f>
              <c:numCache/>
            </c:numRef>
          </c:val>
        </c:ser>
        <c:ser>
          <c:idx val="3"/>
          <c:order val="3"/>
          <c:tx>
            <c:v>Saúde</c:v>
          </c:tx>
          <c:spPr>
            <a:solidFill>
              <a:srgbClr val="6A5286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Anual'!$C$40:$N$40</c:f>
              <c:numCache/>
            </c:numRef>
          </c:val>
        </c:ser>
        <c:ser>
          <c:idx val="4"/>
          <c:order val="4"/>
          <c:tx>
            <c:v>Educação</c:v>
          </c:tx>
          <c:spPr>
            <a:solidFill>
              <a:srgbClr val="3E8EA4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Anual'!$C$41:$N$41</c:f>
              <c:numCache/>
            </c:numRef>
          </c:val>
        </c:ser>
        <c:ser>
          <c:idx val="5"/>
          <c:order val="5"/>
          <c:tx>
            <c:v>Lazer / Diversão</c:v>
          </c:tx>
          <c:spPr>
            <a:solidFill>
              <a:srgbClr val="CC7C3A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Anual'!$C$42:$N$42</c:f>
              <c:numCache/>
            </c:numRef>
          </c:val>
        </c:ser>
        <c:ser>
          <c:idx val="6"/>
          <c:order val="6"/>
          <c:tx>
            <c:v>Vestuário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Anual'!$C$43:$N$43</c:f>
              <c:numCache/>
            </c:numRef>
          </c:val>
        </c:ser>
        <c:ser>
          <c:idx val="7"/>
          <c:order val="7"/>
          <c:tx>
            <c:v>Tecnologia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Anual'!$C$44:$N$44</c:f>
              <c:numCache/>
            </c:numRef>
          </c:val>
        </c:ser>
        <c:ser>
          <c:idx val="8"/>
          <c:order val="8"/>
          <c:tx>
            <c:v>Assinaturas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Anual'!$C$45:$N$45</c:f>
              <c:numCache/>
            </c:numRef>
          </c:val>
        </c:ser>
        <c:ser>
          <c:idx val="9"/>
          <c:order val="9"/>
          <c:tx>
            <c:v>Seguros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Anual'!$C$46:$N$46</c:f>
              <c:numCache/>
            </c:numRef>
          </c:val>
        </c:ser>
        <c:ser>
          <c:idx val="10"/>
          <c:order val="10"/>
          <c:tx>
            <c:v>Impostos</c:v>
          </c:tx>
          <c:spPr>
            <a:solidFill>
              <a:srgbClr val="4BACC6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Anual'!$C$47:$N$47</c:f>
              <c:numCache/>
            </c:numRef>
          </c:val>
        </c:ser>
        <c:ser>
          <c:idx val="11"/>
          <c:order val="11"/>
          <c:tx>
            <c:v>Investimentos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Anual'!$C$48:$N$48</c:f>
              <c:numCache/>
            </c:numRef>
          </c:val>
        </c:ser>
        <c:ser>
          <c:idx val="12"/>
          <c:order val="12"/>
          <c:tx>
            <c:v>Doações</c:v>
          </c:tx>
          <c:spPr>
            <a:solidFill>
              <a:srgbClr val="AABAD7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Anual'!$C$49:$N$49</c:f>
              <c:numCache/>
            </c:numRef>
          </c:val>
        </c:ser>
        <c:ser>
          <c:idx val="13"/>
          <c:order val="13"/>
          <c:tx>
            <c:v>Outros</c:v>
          </c:tx>
          <c:spPr>
            <a:solidFill>
              <a:srgbClr val="D8AAA9"/>
            </a:solidFill>
            <a:ln cmpd="sng">
              <a:solidFill>
                <a:srgbClr val="000000"/>
              </a:solidFill>
            </a:ln>
          </c:spPr>
          <c:cat>
            <c:strRef>
              <c:f>'Raio-X Anual'!$C$36:$N$36</c:f>
            </c:strRef>
          </c:cat>
          <c:val>
            <c:numRef>
              <c:f>'Raio-X Anual'!$C$50:$N$50</c:f>
              <c:numCache/>
            </c:numRef>
          </c:val>
        </c:ser>
        <c:overlap val="100"/>
        <c:axId val="1109978885"/>
        <c:axId val="26365664"/>
      </c:barChart>
      <c:catAx>
        <c:axId val="1109978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6365664"/>
      </c:catAx>
      <c:valAx>
        <c:axId val="26365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099788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Jarros por Mês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NEC</c:v>
          </c:tx>
          <c:spPr>
            <a:solidFill>
              <a:srgbClr val="2563EB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Anual'!$C$72:$N$72</c:f>
              <c:numCache/>
            </c:numRef>
          </c:val>
        </c:ser>
        <c:ser>
          <c:idx val="1"/>
          <c:order val="1"/>
          <c:tx>
            <c:v>CFL</c:v>
          </c:tx>
          <c:spPr>
            <a:solidFill>
              <a:srgbClr val="059669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Anual'!$C$73:$N$73</c:f>
              <c:numCache/>
            </c:numRef>
          </c:val>
        </c:ser>
        <c:ser>
          <c:idx val="2"/>
          <c:order val="2"/>
          <c:tx>
            <c:v>PELP</c:v>
          </c:tx>
          <c:spPr>
            <a:solidFill>
              <a:srgbClr val="7C3AED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Anual'!$C$74:$N$74</c:f>
              <c:numCache/>
            </c:numRef>
          </c:val>
        </c:ser>
        <c:ser>
          <c:idx val="3"/>
          <c:order val="3"/>
          <c:tx>
            <c:v>EDU</c:v>
          </c:tx>
          <c:spPr>
            <a:solidFill>
              <a:srgbClr val="D97706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Anual'!$C$75:$N$75</c:f>
              <c:numCache/>
            </c:numRef>
          </c:val>
        </c:ser>
        <c:ser>
          <c:idx val="4"/>
          <c:order val="4"/>
          <c:tx>
            <c:v>DIV</c:v>
          </c:tx>
          <c:spPr>
            <a:solidFill>
              <a:srgbClr val="DC2626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Anual'!$C$76:$N$76</c:f>
              <c:numCache/>
            </c:numRef>
          </c:val>
        </c:ser>
        <c:ser>
          <c:idx val="5"/>
          <c:order val="5"/>
          <c:tx>
            <c:v>DOA</c:v>
          </c:tx>
          <c:spPr>
            <a:solidFill>
              <a:srgbClr val="0D9488"/>
            </a:solidFill>
            <a:ln cmpd="sng">
              <a:solidFill>
                <a:srgbClr val="000000"/>
              </a:solidFill>
            </a:ln>
          </c:spPr>
          <c:cat>
            <c:strRef>
              <c:f>'Raio-X Anual'!$C$71:$N$71</c:f>
            </c:strRef>
          </c:cat>
          <c:val>
            <c:numRef>
              <c:f>'Raio-X Anual'!$C$77:$N$77</c:f>
              <c:numCache/>
            </c:numRef>
          </c:val>
        </c:ser>
        <c:overlap val="100"/>
        <c:axId val="1703685052"/>
        <c:axId val="529798556"/>
      </c:barChart>
      <c:catAx>
        <c:axId val="1703685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29798556"/>
      </c:catAx>
      <c:valAx>
        <c:axId val="529798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036850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71</xdr:row>
      <xdr:rowOff>171450</xdr:rowOff>
    </xdr:from>
    <xdr:ext cx="4829175" cy="3771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71</xdr:row>
      <xdr:rowOff>171450</xdr:rowOff>
    </xdr:from>
    <xdr:ext cx="9582150" cy="52863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33</xdr:row>
      <xdr:rowOff>161925</xdr:rowOff>
    </xdr:from>
    <xdr:ext cx="4810125" cy="37814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361950</xdr:colOff>
      <xdr:row>43</xdr:row>
      <xdr:rowOff>104775</xdr:rowOff>
    </xdr:from>
    <xdr:ext cx="4829175" cy="3638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16</xdr:col>
      <xdr:colOff>361950</xdr:colOff>
      <xdr:row>62</xdr:row>
      <xdr:rowOff>66675</xdr:rowOff>
    </xdr:from>
    <xdr:ext cx="4829175" cy="34004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128</xdr:row>
      <xdr:rowOff>114300</xdr:rowOff>
    </xdr:from>
    <xdr:ext cx="4105275" cy="29908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114</xdr:row>
      <xdr:rowOff>190500</xdr:rowOff>
    </xdr:from>
    <xdr:ext cx="4105275" cy="2990850"/>
    <xdr:graphicFrame>
      <xdr:nvGraphicFramePr>
        <xdr:cNvPr id="28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0</xdr:colOff>
      <xdr:row>114</xdr:row>
      <xdr:rowOff>190500</xdr:rowOff>
    </xdr:from>
    <xdr:ext cx="4105275" cy="2990850"/>
    <xdr:graphicFrame>
      <xdr:nvGraphicFramePr>
        <xdr:cNvPr id="29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16</xdr:row>
      <xdr:rowOff>57150</xdr:rowOff>
    </xdr:from>
    <xdr:ext cx="9563100" cy="5267325"/>
    <xdr:graphicFrame>
      <xdr:nvGraphicFramePr>
        <xdr:cNvPr id="30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0</xdr:colOff>
      <xdr:row>51</xdr:row>
      <xdr:rowOff>47625</xdr:rowOff>
    </xdr:from>
    <xdr:ext cx="9563100" cy="5267325"/>
    <xdr:graphicFrame>
      <xdr:nvGraphicFramePr>
        <xdr:cNvPr id="31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78</xdr:row>
      <xdr:rowOff>28575</xdr:rowOff>
    </xdr:from>
    <xdr:ext cx="9563100" cy="5286375"/>
    <xdr:graphicFrame>
      <xdr:nvGraphicFramePr>
        <xdr:cNvPr id="32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5" width="18.0"/>
    <col customWidth="1" min="16" max="16" width="2.0"/>
    <col customWidth="1" min="17" max="26" width="8.71"/>
  </cols>
  <sheetData>
    <row r="1" ht="15.0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4" ht="15.75" customHeight="1">
      <c r="B4" s="7" t="s">
        <v>1</v>
      </c>
      <c r="C4" s="8"/>
      <c r="D4" s="9"/>
      <c r="E4" s="10" t="s">
        <v>2</v>
      </c>
      <c r="F4" s="8"/>
      <c r="G4" s="9"/>
      <c r="H4" s="11" t="s">
        <v>3</v>
      </c>
      <c r="I4" s="8"/>
      <c r="J4" s="9"/>
      <c r="K4" s="12" t="s">
        <v>4</v>
      </c>
      <c r="L4" s="8"/>
      <c r="M4" s="9"/>
    </row>
    <row r="5">
      <c r="B5" s="13">
        <f>'Configuração'!D6+E5-H5</f>
        <v>-9463.78</v>
      </c>
      <c r="C5" s="8"/>
      <c r="D5" s="9"/>
      <c r="E5" s="14">
        <f>O23</f>
        <v>6393</v>
      </c>
      <c r="F5" s="8"/>
      <c r="G5" s="9"/>
      <c r="H5" s="15">
        <f>O26</f>
        <v>15856.78</v>
      </c>
      <c r="I5" s="8"/>
      <c r="J5" s="9"/>
      <c r="K5" s="16">
        <f>IF(E5=0,0,(E5-H5)/E5)</f>
        <v>-1.480334741</v>
      </c>
      <c r="L5" s="8"/>
      <c r="M5" s="9"/>
    </row>
    <row r="7" ht="15.75" customHeight="1">
      <c r="B7" s="7" t="s">
        <v>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>
      <c r="B8" s="17" t="s">
        <v>6</v>
      </c>
      <c r="C8" s="17" t="s">
        <v>7</v>
      </c>
      <c r="D8" s="17" t="s">
        <v>8</v>
      </c>
      <c r="E8" s="17" t="s">
        <v>9</v>
      </c>
      <c r="F8" s="17" t="s">
        <v>10</v>
      </c>
      <c r="G8" s="17" t="s">
        <v>11</v>
      </c>
      <c r="H8" s="17" t="s">
        <v>12</v>
      </c>
      <c r="I8" s="17" t="s">
        <v>13</v>
      </c>
      <c r="J8" s="17" t="s">
        <v>14</v>
      </c>
      <c r="K8" s="17" t="s">
        <v>15</v>
      </c>
      <c r="L8" s="17" t="s">
        <v>16</v>
      </c>
      <c r="M8" s="17" t="s">
        <v>17</v>
      </c>
      <c r="N8" s="17" t="s">
        <v>18</v>
      </c>
      <c r="O8" s="17" t="s">
        <v>19</v>
      </c>
    </row>
    <row r="9">
      <c r="B9" s="18" t="s">
        <v>20</v>
      </c>
      <c r="C9" s="19">
        <f>Janeiro!M7</f>
        <v>0</v>
      </c>
      <c r="D9" s="19">
        <f>Fevereiro!M7</f>
        <v>0</v>
      </c>
      <c r="E9" s="19">
        <f>'Março'!M7</f>
        <v>0</v>
      </c>
      <c r="F9" s="19">
        <f>Abril!M7</f>
        <v>0</v>
      </c>
      <c r="G9" s="19">
        <f>Maio!M7</f>
        <v>0</v>
      </c>
      <c r="H9" s="19">
        <f>Junho!M7</f>
        <v>0</v>
      </c>
      <c r="I9" s="19">
        <f>Julho!M7</f>
        <v>0</v>
      </c>
      <c r="J9" s="19">
        <f>Agosto!M7</f>
        <v>0</v>
      </c>
      <c r="K9" s="19">
        <f>Setembro!M7</f>
        <v>0</v>
      </c>
      <c r="L9" s="19">
        <f>Outubro!M7</f>
        <v>0</v>
      </c>
      <c r="M9" s="19">
        <f>Novembro!M7</f>
        <v>0</v>
      </c>
      <c r="N9" s="19">
        <f>Dezembro!M7</f>
        <v>0</v>
      </c>
      <c r="O9" s="20">
        <f t="shared" ref="O9:O18" si="1">SUM(C9:N9)</f>
        <v>0</v>
      </c>
      <c r="P9" s="21" t="s">
        <v>21</v>
      </c>
    </row>
    <row r="10">
      <c r="B10" s="22" t="s">
        <v>22</v>
      </c>
      <c r="C10" s="19">
        <f>Janeiro!M8</f>
        <v>0</v>
      </c>
      <c r="D10" s="19">
        <f>Fevereiro!M8</f>
        <v>0</v>
      </c>
      <c r="E10" s="19">
        <f>'Março'!M8</f>
        <v>0</v>
      </c>
      <c r="F10" s="19">
        <f>Abril!M8</f>
        <v>0</v>
      </c>
      <c r="G10" s="19">
        <f>Maio!M8</f>
        <v>0</v>
      </c>
      <c r="H10" s="19">
        <f>Junho!M8</f>
        <v>0</v>
      </c>
      <c r="I10" s="19">
        <f>Julho!M8</f>
        <v>0</v>
      </c>
      <c r="J10" s="19">
        <f>Agosto!M8</f>
        <v>0</v>
      </c>
      <c r="K10" s="19">
        <f>Setembro!M8</f>
        <v>0</v>
      </c>
      <c r="L10" s="19">
        <f>Outubro!M8</f>
        <v>0</v>
      </c>
      <c r="M10" s="19">
        <f>Novembro!M8</f>
        <v>0</v>
      </c>
      <c r="N10" s="19">
        <f>Dezembro!M8</f>
        <v>0</v>
      </c>
      <c r="O10" s="20">
        <f t="shared" si="1"/>
        <v>0</v>
      </c>
      <c r="P10" s="21" t="s">
        <v>23</v>
      </c>
    </row>
    <row r="11">
      <c r="B11" s="18" t="s">
        <v>24</v>
      </c>
      <c r="C11" s="19">
        <f>Janeiro!M9</f>
        <v>0</v>
      </c>
      <c r="D11" s="19">
        <f>Fevereiro!M9</f>
        <v>0</v>
      </c>
      <c r="E11" s="19">
        <f>'Março'!M9</f>
        <v>0</v>
      </c>
      <c r="F11" s="19">
        <f>Abril!M9</f>
        <v>0</v>
      </c>
      <c r="G11" s="19">
        <f>Maio!M9</f>
        <v>0</v>
      </c>
      <c r="H11" s="19">
        <f>Junho!M9</f>
        <v>0</v>
      </c>
      <c r="I11" s="19">
        <f>Julho!M9</f>
        <v>0</v>
      </c>
      <c r="J11" s="19">
        <f>Agosto!M9</f>
        <v>0</v>
      </c>
      <c r="K11" s="19">
        <f>Setembro!M9</f>
        <v>0</v>
      </c>
      <c r="L11" s="19">
        <f>Outubro!M9</f>
        <v>0</v>
      </c>
      <c r="M11" s="19">
        <f>Novembro!M9</f>
        <v>0</v>
      </c>
      <c r="N11" s="19">
        <f>Dezembro!M9</f>
        <v>0</v>
      </c>
      <c r="O11" s="20">
        <f t="shared" si="1"/>
        <v>0</v>
      </c>
      <c r="P11" s="21" t="s">
        <v>25</v>
      </c>
    </row>
    <row r="12">
      <c r="B12" s="23" t="s">
        <v>26</v>
      </c>
      <c r="C12" s="19">
        <f>Janeiro!M10</f>
        <v>0</v>
      </c>
      <c r="D12" s="19">
        <f>Fevereiro!M10</f>
        <v>0</v>
      </c>
      <c r="E12" s="19">
        <f>'Março'!M10</f>
        <v>0</v>
      </c>
      <c r="F12" s="19">
        <f>Abril!M10</f>
        <v>0</v>
      </c>
      <c r="G12" s="19">
        <f>Maio!M10</f>
        <v>0</v>
      </c>
      <c r="H12" s="19">
        <f>Junho!M10</f>
        <v>0</v>
      </c>
      <c r="I12" s="19">
        <f>Julho!M10</f>
        <v>0</v>
      </c>
      <c r="J12" s="19">
        <f>Agosto!M10</f>
        <v>0</v>
      </c>
      <c r="K12" s="19">
        <f>Setembro!M10</f>
        <v>0</v>
      </c>
      <c r="L12" s="19">
        <f>Outubro!M10</f>
        <v>0</v>
      </c>
      <c r="M12" s="19">
        <f>Novembro!M10</f>
        <v>0</v>
      </c>
      <c r="N12" s="19">
        <f>Dezembro!M10</f>
        <v>0</v>
      </c>
      <c r="O12" s="20">
        <f t="shared" si="1"/>
        <v>0</v>
      </c>
      <c r="P12" s="21" t="s">
        <v>27</v>
      </c>
    </row>
    <row r="13">
      <c r="B13" s="24" t="s">
        <v>28</v>
      </c>
      <c r="C13" s="19">
        <f>Janeiro!M11</f>
        <v>0</v>
      </c>
      <c r="D13" s="19">
        <f>Fevereiro!M11</f>
        <v>0</v>
      </c>
      <c r="E13" s="19">
        <f>'Março'!M11</f>
        <v>0</v>
      </c>
      <c r="F13" s="19">
        <f>Abril!M11</f>
        <v>0</v>
      </c>
      <c r="G13" s="19">
        <f>Maio!M11</f>
        <v>0</v>
      </c>
      <c r="H13" s="19">
        <f>Junho!M11</f>
        <v>0</v>
      </c>
      <c r="I13" s="19">
        <f>Julho!M11</f>
        <v>0</v>
      </c>
      <c r="J13" s="19">
        <f>Agosto!M11</f>
        <v>0</v>
      </c>
      <c r="K13" s="19">
        <f>Setembro!M11</f>
        <v>0</v>
      </c>
      <c r="L13" s="19">
        <f>Outubro!M11</f>
        <v>0</v>
      </c>
      <c r="M13" s="19">
        <f>Novembro!M11</f>
        <v>0</v>
      </c>
      <c r="N13" s="19">
        <f>Dezembro!M11</f>
        <v>0</v>
      </c>
      <c r="O13" s="20">
        <f t="shared" si="1"/>
        <v>0</v>
      </c>
      <c r="P13" s="21" t="s">
        <v>29</v>
      </c>
    </row>
    <row r="14">
      <c r="B14" s="23" t="s">
        <v>30</v>
      </c>
      <c r="C14" s="19">
        <f>Janeiro!M12</f>
        <v>0</v>
      </c>
      <c r="D14" s="19">
        <f>Fevereiro!M12</f>
        <v>0</v>
      </c>
      <c r="E14" s="19">
        <f>'Março'!M12</f>
        <v>0</v>
      </c>
      <c r="F14" s="19">
        <f>Abril!M12</f>
        <v>0</v>
      </c>
      <c r="G14" s="19">
        <f>Maio!M12</f>
        <v>0</v>
      </c>
      <c r="H14" s="19">
        <f>Junho!M12</f>
        <v>0</v>
      </c>
      <c r="I14" s="19">
        <f>Julho!M12</f>
        <v>0</v>
      </c>
      <c r="J14" s="19">
        <f>Agosto!M12</f>
        <v>0</v>
      </c>
      <c r="K14" s="19">
        <f>Setembro!M12</f>
        <v>0</v>
      </c>
      <c r="L14" s="19">
        <f>Outubro!M12</f>
        <v>0</v>
      </c>
      <c r="M14" s="19">
        <f>Novembro!M12</f>
        <v>0</v>
      </c>
      <c r="N14" s="19">
        <f>Dezembro!M12</f>
        <v>0</v>
      </c>
      <c r="O14" s="20">
        <f t="shared" si="1"/>
        <v>0</v>
      </c>
      <c r="P14" s="21" t="s">
        <v>31</v>
      </c>
    </row>
    <row r="15">
      <c r="B15" s="24" t="s">
        <v>32</v>
      </c>
      <c r="C15" s="19">
        <f>Janeiro!M13</f>
        <v>0</v>
      </c>
      <c r="D15" s="19">
        <f>Fevereiro!M13</f>
        <v>0</v>
      </c>
      <c r="E15" s="19">
        <f>'Março'!M13</f>
        <v>0</v>
      </c>
      <c r="F15" s="19">
        <f>Abril!M13</f>
        <v>0</v>
      </c>
      <c r="G15" s="19">
        <f>Maio!M13</f>
        <v>0</v>
      </c>
      <c r="H15" s="19">
        <f>Junho!M13</f>
        <v>0</v>
      </c>
      <c r="I15" s="19">
        <f>Julho!M13</f>
        <v>0</v>
      </c>
      <c r="J15" s="19">
        <f>Agosto!M13</f>
        <v>0</v>
      </c>
      <c r="K15" s="19">
        <f>Setembro!M13</f>
        <v>0</v>
      </c>
      <c r="L15" s="19">
        <f>Outubro!M13</f>
        <v>0</v>
      </c>
      <c r="M15" s="19">
        <f>Novembro!M13</f>
        <v>0</v>
      </c>
      <c r="N15" s="19">
        <f>Dezembro!M13</f>
        <v>0</v>
      </c>
      <c r="O15" s="20">
        <f t="shared" si="1"/>
        <v>0</v>
      </c>
      <c r="P15" s="21" t="s">
        <v>33</v>
      </c>
    </row>
    <row r="16">
      <c r="B16" s="23" t="s">
        <v>34</v>
      </c>
      <c r="C16" s="19">
        <f>Janeiro!M14</f>
        <v>0</v>
      </c>
      <c r="D16" s="19">
        <f>Fevereiro!M14</f>
        <v>0</v>
      </c>
      <c r="E16" s="19">
        <f>'Março'!M14</f>
        <v>0</v>
      </c>
      <c r="F16" s="19">
        <f>Abril!M14</f>
        <v>0</v>
      </c>
      <c r="G16" s="19">
        <f>Maio!M14</f>
        <v>0</v>
      </c>
      <c r="H16" s="19">
        <f>Junho!M14</f>
        <v>0</v>
      </c>
      <c r="I16" s="19">
        <f>Julho!M14</f>
        <v>0</v>
      </c>
      <c r="J16" s="19">
        <f>Agosto!M14</f>
        <v>0</v>
      </c>
      <c r="K16" s="19">
        <f>Setembro!M14</f>
        <v>0</v>
      </c>
      <c r="L16" s="19">
        <f>Outubro!M14</f>
        <v>0</v>
      </c>
      <c r="M16" s="19">
        <f>Novembro!M14</f>
        <v>0</v>
      </c>
      <c r="N16" s="19">
        <f>Dezembro!M14</f>
        <v>0</v>
      </c>
      <c r="O16" s="20">
        <f t="shared" si="1"/>
        <v>0</v>
      </c>
      <c r="P16" s="21" t="s">
        <v>35</v>
      </c>
    </row>
    <row r="17">
      <c r="B17" s="24" t="s">
        <v>36</v>
      </c>
      <c r="C17" s="19">
        <f>Janeiro!M15</f>
        <v>0</v>
      </c>
      <c r="D17" s="19">
        <f>Fevereiro!M15</f>
        <v>0</v>
      </c>
      <c r="E17" s="19">
        <f>'Março'!M15</f>
        <v>0</v>
      </c>
      <c r="F17" s="19">
        <f>Abril!M15</f>
        <v>0</v>
      </c>
      <c r="G17" s="19">
        <f>Maio!M15</f>
        <v>0</v>
      </c>
      <c r="H17" s="19">
        <f>Junho!M15</f>
        <v>0</v>
      </c>
      <c r="I17" s="19">
        <f>Julho!M15</f>
        <v>0</v>
      </c>
      <c r="J17" s="19">
        <f>Agosto!M15</f>
        <v>0</v>
      </c>
      <c r="K17" s="19">
        <f>Setembro!M15</f>
        <v>0</v>
      </c>
      <c r="L17" s="19">
        <f>Outubro!M15</f>
        <v>0</v>
      </c>
      <c r="M17" s="19">
        <f>Novembro!M15</f>
        <v>0</v>
      </c>
      <c r="N17" s="19">
        <f>Dezembro!M15</f>
        <v>0</v>
      </c>
      <c r="O17" s="20">
        <f t="shared" si="1"/>
        <v>0</v>
      </c>
      <c r="P17" s="21" t="s">
        <v>37</v>
      </c>
    </row>
    <row r="18">
      <c r="B18" s="23" t="s">
        <v>38</v>
      </c>
      <c r="C18" s="19">
        <f>Janeiro!M16</f>
        <v>0</v>
      </c>
      <c r="D18" s="19">
        <f>Fevereiro!M16</f>
        <v>0</v>
      </c>
      <c r="E18" s="19">
        <f>'Março'!M16</f>
        <v>0</v>
      </c>
      <c r="F18" s="19">
        <f>Abril!M16</f>
        <v>0</v>
      </c>
      <c r="G18" s="19">
        <f>Maio!M16</f>
        <v>0</v>
      </c>
      <c r="H18" s="19">
        <f>Junho!M16</f>
        <v>0</v>
      </c>
      <c r="I18" s="19">
        <f>Julho!M16</f>
        <v>0</v>
      </c>
      <c r="J18" s="19">
        <f>Agosto!M16</f>
        <v>0</v>
      </c>
      <c r="K18" s="19">
        <f>Setembro!M16</f>
        <v>0</v>
      </c>
      <c r="L18" s="19">
        <f>Outubro!M16</f>
        <v>0</v>
      </c>
      <c r="M18" s="19">
        <f>Novembro!M16</f>
        <v>0</v>
      </c>
      <c r="N18" s="19">
        <f>Dezembro!M16</f>
        <v>0</v>
      </c>
      <c r="O18" s="20">
        <f t="shared" si="1"/>
        <v>0</v>
      </c>
      <c r="P18" s="21" t="s">
        <v>39</v>
      </c>
    </row>
    <row r="19">
      <c r="B19" s="25" t="s">
        <v>40</v>
      </c>
      <c r="C19" s="26">
        <f t="shared" ref="C19:O19" si="2">SUM(C9:C18)</f>
        <v>0</v>
      </c>
      <c r="D19" s="26">
        <f t="shared" si="2"/>
        <v>0</v>
      </c>
      <c r="E19" s="26">
        <f t="shared" si="2"/>
        <v>0</v>
      </c>
      <c r="F19" s="26">
        <f t="shared" si="2"/>
        <v>0</v>
      </c>
      <c r="G19" s="26">
        <f t="shared" si="2"/>
        <v>0</v>
      </c>
      <c r="H19" s="26">
        <f t="shared" si="2"/>
        <v>0</v>
      </c>
      <c r="I19" s="26">
        <f t="shared" si="2"/>
        <v>0</v>
      </c>
      <c r="J19" s="26">
        <f t="shared" si="2"/>
        <v>0</v>
      </c>
      <c r="K19" s="26">
        <f t="shared" si="2"/>
        <v>0</v>
      </c>
      <c r="L19" s="26">
        <f t="shared" si="2"/>
        <v>0</v>
      </c>
      <c r="M19" s="26">
        <f t="shared" si="2"/>
        <v>0</v>
      </c>
      <c r="N19" s="26">
        <f t="shared" si="2"/>
        <v>0</v>
      </c>
      <c r="O19" s="26">
        <f t="shared" si="2"/>
        <v>0</v>
      </c>
    </row>
    <row r="21" ht="15.75" customHeight="1">
      <c r="B21" s="10" t="s">
        <v>41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"/>
    </row>
    <row r="22" ht="15.75" customHeight="1">
      <c r="B22" s="27"/>
      <c r="C22" s="27" t="s">
        <v>7</v>
      </c>
      <c r="D22" s="27" t="s">
        <v>8</v>
      </c>
      <c r="E22" s="27" t="s">
        <v>9</v>
      </c>
      <c r="F22" s="27" t="s">
        <v>10</v>
      </c>
      <c r="G22" s="27" t="s">
        <v>11</v>
      </c>
      <c r="H22" s="27" t="s">
        <v>12</v>
      </c>
      <c r="I22" s="27" t="s">
        <v>13</v>
      </c>
      <c r="J22" s="27" t="s">
        <v>14</v>
      </c>
      <c r="K22" s="27" t="s">
        <v>15</v>
      </c>
      <c r="L22" s="27" t="s">
        <v>16</v>
      </c>
      <c r="M22" s="27" t="s">
        <v>17</v>
      </c>
      <c r="N22" s="27" t="s">
        <v>18</v>
      </c>
      <c r="O22" s="27" t="s">
        <v>19</v>
      </c>
    </row>
    <row r="23" ht="15.75" customHeight="1">
      <c r="B23" s="25" t="s">
        <v>42</v>
      </c>
      <c r="C23" s="19">
        <f>Janeiro!D5</f>
        <v>0</v>
      </c>
      <c r="D23" s="19">
        <f>Fevereiro!D5</f>
        <v>6393</v>
      </c>
      <c r="E23" s="19">
        <f>'Março'!D5</f>
        <v>0</v>
      </c>
      <c r="F23" s="19">
        <f>Abril!D5</f>
        <v>0</v>
      </c>
      <c r="G23" s="19">
        <f>Maio!D5</f>
        <v>0</v>
      </c>
      <c r="H23" s="19">
        <f>Junho!D5</f>
        <v>0</v>
      </c>
      <c r="I23" s="19">
        <f>Julho!D5</f>
        <v>0</v>
      </c>
      <c r="J23" s="19">
        <f>Agosto!D5</f>
        <v>0</v>
      </c>
      <c r="K23" s="19">
        <f>Setembro!D5</f>
        <v>0</v>
      </c>
      <c r="L23" s="19">
        <f>Outubro!D5</f>
        <v>0</v>
      </c>
      <c r="M23" s="19">
        <f>Novembro!D5</f>
        <v>0</v>
      </c>
      <c r="N23" s="19">
        <f>Dezembro!D5</f>
        <v>0</v>
      </c>
      <c r="O23" s="20">
        <f t="shared" ref="O23:O27" si="3">SUM(C23:N23)</f>
        <v>6393</v>
      </c>
    </row>
    <row r="24" ht="15.75" customHeight="1">
      <c r="B24" s="28" t="s">
        <v>43</v>
      </c>
      <c r="C24" s="19">
        <f>Janeiro!D6</f>
        <v>1184.9</v>
      </c>
      <c r="D24" s="19">
        <f>Fevereiro!D6</f>
        <v>1184.9</v>
      </c>
      <c r="E24" s="19">
        <f>'Março'!D6</f>
        <v>1184.9</v>
      </c>
      <c r="F24" s="19">
        <f>Abril!D6</f>
        <v>1184.9</v>
      </c>
      <c r="G24" s="19">
        <f>Maio!D6</f>
        <v>1184.9</v>
      </c>
      <c r="H24" s="19">
        <f>Junho!D6</f>
        <v>1184.9</v>
      </c>
      <c r="I24" s="19">
        <f>Julho!D6</f>
        <v>1184.9</v>
      </c>
      <c r="J24" s="19">
        <f>Agosto!D6</f>
        <v>1184.9</v>
      </c>
      <c r="K24" s="19">
        <f>Setembro!D6</f>
        <v>1184.9</v>
      </c>
      <c r="L24" s="19">
        <f>Outubro!D6</f>
        <v>1184.9</v>
      </c>
      <c r="M24" s="19">
        <f>Novembro!D6</f>
        <v>1184.9</v>
      </c>
      <c r="N24" s="19">
        <f>Dezembro!D6</f>
        <v>1184.9</v>
      </c>
      <c r="O24" s="20">
        <f t="shared" si="3"/>
        <v>14218.8</v>
      </c>
    </row>
    <row r="25" ht="15.75" customHeight="1">
      <c r="B25" s="29" t="s">
        <v>44</v>
      </c>
      <c r="C25" s="19">
        <f>Janeiro!D7</f>
        <v>0</v>
      </c>
      <c r="D25" s="19">
        <f>Fevereiro!D7</f>
        <v>1637.98</v>
      </c>
      <c r="E25" s="19">
        <f>'Março'!D7</f>
        <v>0</v>
      </c>
      <c r="F25" s="19">
        <f>Abril!D7</f>
        <v>0</v>
      </c>
      <c r="G25" s="19">
        <f>Maio!D7</f>
        <v>0</v>
      </c>
      <c r="H25" s="19">
        <f>Junho!D7</f>
        <v>0</v>
      </c>
      <c r="I25" s="19">
        <f>Julho!D7</f>
        <v>0</v>
      </c>
      <c r="J25" s="19">
        <f>Agosto!D7</f>
        <v>0</v>
      </c>
      <c r="K25" s="19">
        <f>Setembro!D7</f>
        <v>0</v>
      </c>
      <c r="L25" s="19">
        <f>Outubro!D7</f>
        <v>0</v>
      </c>
      <c r="M25" s="19">
        <f>Novembro!D7</f>
        <v>0</v>
      </c>
      <c r="N25" s="19">
        <f>Dezembro!D7</f>
        <v>0</v>
      </c>
      <c r="O25" s="20">
        <f t="shared" si="3"/>
        <v>1637.98</v>
      </c>
    </row>
    <row r="26" ht="15.75" customHeight="1">
      <c r="B26" s="28" t="s">
        <v>45</v>
      </c>
      <c r="C26" s="19">
        <f t="shared" ref="C26:N26" si="4">C24+C25</f>
        <v>1184.9</v>
      </c>
      <c r="D26" s="19">
        <f t="shared" si="4"/>
        <v>2822.88</v>
      </c>
      <c r="E26" s="19">
        <f t="shared" si="4"/>
        <v>1184.9</v>
      </c>
      <c r="F26" s="19">
        <f t="shared" si="4"/>
        <v>1184.9</v>
      </c>
      <c r="G26" s="19">
        <f t="shared" si="4"/>
        <v>1184.9</v>
      </c>
      <c r="H26" s="19">
        <f t="shared" si="4"/>
        <v>1184.9</v>
      </c>
      <c r="I26" s="19">
        <f t="shared" si="4"/>
        <v>1184.9</v>
      </c>
      <c r="J26" s="19">
        <f t="shared" si="4"/>
        <v>1184.9</v>
      </c>
      <c r="K26" s="19">
        <f t="shared" si="4"/>
        <v>1184.9</v>
      </c>
      <c r="L26" s="19">
        <f t="shared" si="4"/>
        <v>1184.9</v>
      </c>
      <c r="M26" s="19">
        <f t="shared" si="4"/>
        <v>1184.9</v>
      </c>
      <c r="N26" s="19">
        <f t="shared" si="4"/>
        <v>1184.9</v>
      </c>
      <c r="O26" s="20">
        <f t="shared" si="3"/>
        <v>15856.78</v>
      </c>
    </row>
    <row r="27" ht="15.75" customHeight="1">
      <c r="B27" s="30" t="s">
        <v>46</v>
      </c>
      <c r="C27" s="19">
        <f t="shared" ref="C27:N27" si="5">C23-C26</f>
        <v>-1184.9</v>
      </c>
      <c r="D27" s="19">
        <f t="shared" si="5"/>
        <v>3570.12</v>
      </c>
      <c r="E27" s="19">
        <f t="shared" si="5"/>
        <v>-1184.9</v>
      </c>
      <c r="F27" s="19">
        <f t="shared" si="5"/>
        <v>-1184.9</v>
      </c>
      <c r="G27" s="19">
        <f t="shared" si="5"/>
        <v>-1184.9</v>
      </c>
      <c r="H27" s="19">
        <f t="shared" si="5"/>
        <v>-1184.9</v>
      </c>
      <c r="I27" s="19">
        <f t="shared" si="5"/>
        <v>-1184.9</v>
      </c>
      <c r="J27" s="19">
        <f t="shared" si="5"/>
        <v>-1184.9</v>
      </c>
      <c r="K27" s="19">
        <f t="shared" si="5"/>
        <v>-1184.9</v>
      </c>
      <c r="L27" s="19">
        <f t="shared" si="5"/>
        <v>-1184.9</v>
      </c>
      <c r="M27" s="19">
        <f t="shared" si="5"/>
        <v>-1184.9</v>
      </c>
      <c r="N27" s="19">
        <f t="shared" si="5"/>
        <v>-1184.9</v>
      </c>
      <c r="O27" s="20">
        <f t="shared" si="3"/>
        <v>-9463.78</v>
      </c>
    </row>
    <row r="28" ht="15.75" customHeight="1">
      <c r="B28" s="25" t="s">
        <v>47</v>
      </c>
      <c r="C28" s="19">
        <f>'Configuração'!D6+C27</f>
        <v>-1184.9</v>
      </c>
      <c r="D28" s="19">
        <f t="shared" ref="D28:N28" si="6">C28+D27</f>
        <v>2385.22</v>
      </c>
      <c r="E28" s="19">
        <f t="shared" si="6"/>
        <v>1200.32</v>
      </c>
      <c r="F28" s="19">
        <f t="shared" si="6"/>
        <v>15.42</v>
      </c>
      <c r="G28" s="19">
        <f t="shared" si="6"/>
        <v>-1169.48</v>
      </c>
      <c r="H28" s="19">
        <f t="shared" si="6"/>
        <v>-2354.38</v>
      </c>
      <c r="I28" s="19">
        <f t="shared" si="6"/>
        <v>-3539.28</v>
      </c>
      <c r="J28" s="19">
        <f t="shared" si="6"/>
        <v>-4724.18</v>
      </c>
      <c r="K28" s="19">
        <f t="shared" si="6"/>
        <v>-5909.08</v>
      </c>
      <c r="L28" s="19">
        <f t="shared" si="6"/>
        <v>-7093.98</v>
      </c>
      <c r="M28" s="19">
        <f t="shared" si="6"/>
        <v>-8278.88</v>
      </c>
      <c r="N28" s="19">
        <f t="shared" si="6"/>
        <v>-9463.78</v>
      </c>
      <c r="O28" s="20">
        <f>N28</f>
        <v>-9463.78</v>
      </c>
    </row>
    <row r="29" ht="15.75" customHeight="1">
      <c r="B29" s="31" t="s">
        <v>48</v>
      </c>
      <c r="C29" s="32">
        <f t="shared" ref="C29:O29" si="7">IF(C23=0,0,C27/C23)</f>
        <v>0</v>
      </c>
      <c r="D29" s="32">
        <f t="shared" si="7"/>
        <v>0.558442046</v>
      </c>
      <c r="E29" s="32">
        <f t="shared" si="7"/>
        <v>0</v>
      </c>
      <c r="F29" s="32">
        <f t="shared" si="7"/>
        <v>0</v>
      </c>
      <c r="G29" s="32">
        <f t="shared" si="7"/>
        <v>0</v>
      </c>
      <c r="H29" s="32">
        <f t="shared" si="7"/>
        <v>0</v>
      </c>
      <c r="I29" s="32">
        <f t="shared" si="7"/>
        <v>0</v>
      </c>
      <c r="J29" s="32">
        <f t="shared" si="7"/>
        <v>0</v>
      </c>
      <c r="K29" s="32">
        <f t="shared" si="7"/>
        <v>0</v>
      </c>
      <c r="L29" s="32">
        <f t="shared" si="7"/>
        <v>0</v>
      </c>
      <c r="M29" s="32">
        <f t="shared" si="7"/>
        <v>0</v>
      </c>
      <c r="N29" s="32">
        <f t="shared" si="7"/>
        <v>0</v>
      </c>
      <c r="O29" s="33">
        <f t="shared" si="7"/>
        <v>-1.480334741</v>
      </c>
    </row>
    <row r="30" ht="15.75" customHeight="1"/>
    <row r="31" ht="15.75" customHeight="1"/>
    <row r="32" ht="15.75" customHeight="1"/>
    <row r="33" ht="15.75" customHeight="1"/>
    <row r="34" ht="15.75" customHeight="1">
      <c r="I34" s="11" t="s">
        <v>49</v>
      </c>
      <c r="J34" s="8"/>
      <c r="K34" s="8"/>
      <c r="L34" s="8"/>
      <c r="M34" s="8"/>
      <c r="N34" s="8"/>
      <c r="O34" s="9"/>
    </row>
    <row r="35" ht="15.75" customHeight="1">
      <c r="I35" s="17" t="s">
        <v>50</v>
      </c>
      <c r="J35" s="17" t="s">
        <v>51</v>
      </c>
      <c r="K35" s="17" t="s">
        <v>52</v>
      </c>
      <c r="L35" s="17" t="s">
        <v>53</v>
      </c>
      <c r="M35" s="17" t="s">
        <v>54</v>
      </c>
    </row>
    <row r="36" ht="15.75" customHeight="1">
      <c r="I36" s="24" t="s">
        <v>55</v>
      </c>
      <c r="J36" s="19">
        <f>Janeiro!M22+Fevereiro!M22+'Março'!M22+Abril!M22+Maio!M22+Junho!M22+Julho!M22+Agosto!M22+Setembro!M22+Outubro!M22+Novembro!M22+Dezembro!M22</f>
        <v>2400</v>
      </c>
      <c r="K36" s="32">
        <f>IF(H5=0,0,J36/H5)</f>
        <v>0.1513548148</v>
      </c>
      <c r="L36" s="32">
        <f>IF(E5=0,0,J36/E5)</f>
        <v>0.3754106053</v>
      </c>
      <c r="M36" s="34" t="str">
        <f t="shared" ref="M36:M49" si="8">IF(L36&gt;0.2,"🔴 Alto",IF(L36&gt;0.1,"🟡 Médio","🟢 OK"))</f>
        <v>🔴 Alto</v>
      </c>
      <c r="N36" s="21" t="s">
        <v>56</v>
      </c>
    </row>
    <row r="37" ht="15.75" customHeight="1">
      <c r="I37" s="23" t="s">
        <v>57</v>
      </c>
      <c r="J37" s="19">
        <f>Janeiro!M23+Fevereiro!M23+'Março'!M23+Abril!M23+Maio!M23+Junho!M23+Julho!M23+Agosto!M23+Setembro!M23+Outubro!M23+Novembro!M23+Dezembro!M23</f>
        <v>584.98</v>
      </c>
      <c r="K37" s="32">
        <f>IF(H5=0,0,J37/H5)</f>
        <v>0.03689147481</v>
      </c>
      <c r="L37" s="32">
        <f>IF(E5=0,0,J37/E5)</f>
        <v>0.09150320663</v>
      </c>
      <c r="M37" s="34" t="str">
        <f t="shared" si="8"/>
        <v>🟢 OK</v>
      </c>
      <c r="N37" s="21" t="s">
        <v>58</v>
      </c>
    </row>
    <row r="38" ht="15.75" customHeight="1">
      <c r="I38" s="24" t="s">
        <v>59</v>
      </c>
      <c r="J38" s="19">
        <f>Janeiro!M24+Fevereiro!M24+'Março'!M24+Abril!M24+Maio!M24+Junho!M24+Julho!M24+Agosto!M24+Setembro!M24+Outubro!M24+Novembro!M24+Dezembro!M24</f>
        <v>2510</v>
      </c>
      <c r="K38" s="32">
        <f>IF(H5=0,0,J38/H5)</f>
        <v>0.1582919105</v>
      </c>
      <c r="L38" s="32">
        <f>IF(E5=0,0,J38/E5)</f>
        <v>0.3926169248</v>
      </c>
      <c r="M38" s="34" t="str">
        <f t="shared" si="8"/>
        <v>🔴 Alto</v>
      </c>
      <c r="N38" s="21" t="s">
        <v>60</v>
      </c>
    </row>
    <row r="39" ht="15.75" customHeight="1">
      <c r="I39" s="23" t="s">
        <v>61</v>
      </c>
      <c r="J39" s="19">
        <f>Janeiro!M25+Fevereiro!M25+'Março'!M25+Abril!M25+Maio!M25+Junho!M25+Julho!M25+Agosto!M25+Setembro!M25+Outubro!M25+Novembro!M25+Dezembro!M25</f>
        <v>101</v>
      </c>
      <c r="K39" s="32">
        <f>IF(H5=0,0,J39/H5)</f>
        <v>0.006369515122</v>
      </c>
      <c r="L39" s="32">
        <f>IF(E5=0,0,J39/E5)</f>
        <v>0.01579852964</v>
      </c>
      <c r="M39" s="34" t="str">
        <f t="shared" si="8"/>
        <v>🟢 OK</v>
      </c>
      <c r="N39" s="21" t="s">
        <v>62</v>
      </c>
    </row>
    <row r="40" ht="15.75" customHeight="1">
      <c r="I40" s="24" t="s">
        <v>63</v>
      </c>
      <c r="J40" s="19">
        <f>Janeiro!M26+Fevereiro!M26+'Março'!M26+Abril!M26+Maio!M26+Junho!M26+Julho!M26+Agosto!M26+Setembro!M26+Outubro!M26+Novembro!M26+Dezembro!M26</f>
        <v>5640</v>
      </c>
      <c r="K40" s="32">
        <f>IF(H5=0,0,J40/H5)</f>
        <v>0.3556838147</v>
      </c>
      <c r="L40" s="32">
        <f>IF(E5=0,0,J40/E5)</f>
        <v>0.8822149226</v>
      </c>
      <c r="M40" s="34" t="str">
        <f t="shared" si="8"/>
        <v>🔴 Alto</v>
      </c>
      <c r="N40" s="21" t="s">
        <v>64</v>
      </c>
    </row>
    <row r="41" ht="15.75" customHeight="1">
      <c r="I41" s="23" t="s">
        <v>65</v>
      </c>
      <c r="J41" s="19">
        <f>Janeiro!M27+Fevereiro!M27+'Março'!M27+Abril!M27+Maio!M27+Junho!M27+Julho!M27+Agosto!M27+Setembro!M27+Outubro!M27+Novembro!M27+Dezembro!M27</f>
        <v>718.8</v>
      </c>
      <c r="K41" s="32">
        <f>IF(H5=0,0,J41/H5)</f>
        <v>0.04533076703</v>
      </c>
      <c r="L41" s="32">
        <f>IF(E5=0,0,J41/E5)</f>
        <v>0.1124354763</v>
      </c>
      <c r="M41" s="34" t="str">
        <f t="shared" si="8"/>
        <v>🟡 Médio</v>
      </c>
      <c r="N41" s="21" t="s">
        <v>66</v>
      </c>
    </row>
    <row r="42" ht="15.75" customHeight="1">
      <c r="I42" s="24" t="s">
        <v>67</v>
      </c>
      <c r="J42" s="19">
        <f>Janeiro!M28+Fevereiro!M28+'Março'!M28+Abril!M28+Maio!M28+Junho!M28+Julho!M28+Agosto!M28+Setembro!M28+Outubro!M28+Novembro!M28+Dezembro!M28</f>
        <v>142</v>
      </c>
      <c r="K42" s="32">
        <f>IF(H5=0,0,J42/H5)</f>
        <v>0.008955159875</v>
      </c>
      <c r="L42" s="32">
        <f>IF(E5=0,0,J42/E5)</f>
        <v>0.02221179415</v>
      </c>
      <c r="M42" s="34" t="str">
        <f t="shared" si="8"/>
        <v>🟢 OK</v>
      </c>
      <c r="N42" s="21" t="s">
        <v>68</v>
      </c>
    </row>
    <row r="43" ht="15.75" customHeight="1">
      <c r="I43" s="23" t="s">
        <v>69</v>
      </c>
      <c r="J43" s="19">
        <f>Janeiro!M29+Fevereiro!M29+'Março'!M29+Abril!M29+Maio!M29+Junho!M29+Julho!M29+Agosto!M29+Setembro!M29+Outubro!M29+Novembro!M29+Dezembro!M29</f>
        <v>1920</v>
      </c>
      <c r="K43" s="32">
        <f>IF(H5=0,0,J43/H5)</f>
        <v>0.1210838518</v>
      </c>
      <c r="L43" s="32">
        <f>IF(E5=0,0,J43/E5)</f>
        <v>0.3003284843</v>
      </c>
      <c r="M43" s="34" t="str">
        <f t="shared" si="8"/>
        <v>🔴 Alto</v>
      </c>
      <c r="N43" s="21" t="s">
        <v>70</v>
      </c>
    </row>
    <row r="44" ht="15.75" customHeight="1">
      <c r="I44" s="24" t="s">
        <v>71</v>
      </c>
      <c r="J44" s="19">
        <f>Janeiro!M30+Fevereiro!M30+'Março'!M30+Abril!M30+Maio!M30+Junho!M30+Julho!M30+Agosto!M30+Setembro!M30+Outubro!M30+Novembro!M30+Dezembro!M30</f>
        <v>0</v>
      </c>
      <c r="K44" s="32">
        <f>IF(H5=0,0,J44/H5)</f>
        <v>0</v>
      </c>
      <c r="L44" s="32">
        <f>IF(E5=0,0,J44/E5)</f>
        <v>0</v>
      </c>
      <c r="M44" s="34" t="str">
        <f t="shared" si="8"/>
        <v>🟢 OK</v>
      </c>
      <c r="N44" s="21" t="s">
        <v>72</v>
      </c>
    </row>
    <row r="45" ht="15.75" customHeight="1">
      <c r="I45" s="23" t="s">
        <v>73</v>
      </c>
      <c r="J45" s="19">
        <f>Janeiro!M31+Fevereiro!M31+'Março'!M31+Abril!M31+Maio!M31+Junho!M31+Julho!M31+Agosto!M31+Setembro!M31+Outubro!M31+Novembro!M31+Dezembro!M31</f>
        <v>0</v>
      </c>
      <c r="K45" s="32">
        <f>IF(H5=0,0,J45/H5)</f>
        <v>0</v>
      </c>
      <c r="L45" s="32">
        <f>IF(E5=0,0,J45/E5)</f>
        <v>0</v>
      </c>
      <c r="M45" s="34" t="str">
        <f t="shared" si="8"/>
        <v>🟢 OK</v>
      </c>
      <c r="N45" s="21" t="s">
        <v>74</v>
      </c>
    </row>
    <row r="46" ht="15.75" customHeight="1">
      <c r="I46" s="24" t="s">
        <v>75</v>
      </c>
      <c r="J46" s="19">
        <f>Janeiro!M32+Fevereiro!M32+'Março'!M32+Abril!M32+Maio!M32+Junho!M32+Julho!M32+Agosto!M32+Setembro!M32+Outubro!M32+Novembro!M32+Dezembro!M32</f>
        <v>0</v>
      </c>
      <c r="K46" s="32">
        <f>IF(H5=0,0,J46/H5)</f>
        <v>0</v>
      </c>
      <c r="L46" s="32">
        <f>IF(E5=0,0,J46/E5)</f>
        <v>0</v>
      </c>
      <c r="M46" s="34" t="str">
        <f t="shared" si="8"/>
        <v>🟢 OK</v>
      </c>
      <c r="N46" s="21" t="s">
        <v>76</v>
      </c>
    </row>
    <row r="47" ht="15.75" customHeight="1">
      <c r="I47" s="23" t="s">
        <v>77</v>
      </c>
      <c r="J47" s="19">
        <f>Janeiro!M33+Fevereiro!M33+'Março'!M33+Abril!M33+Maio!M33+Junho!M33+Julho!M33+Agosto!M33+Setembro!M33+Outubro!M33+Novembro!M33+Dezembro!M33</f>
        <v>0</v>
      </c>
      <c r="K47" s="32">
        <f>IF(H5=0,0,J47/H5)</f>
        <v>0</v>
      </c>
      <c r="L47" s="32">
        <f>IF(E5=0,0,J47/E5)</f>
        <v>0</v>
      </c>
      <c r="M47" s="34" t="str">
        <f t="shared" si="8"/>
        <v>🟢 OK</v>
      </c>
      <c r="N47" s="21" t="s">
        <v>78</v>
      </c>
    </row>
    <row r="48" ht="15.75" customHeight="1">
      <c r="I48" s="24" t="s">
        <v>79</v>
      </c>
      <c r="J48" s="19">
        <f>Janeiro!M34+Fevereiro!M34+'Março'!M34+Abril!M34+Maio!M34+Junho!M34+Julho!M34+Agosto!M34+Setembro!M34+Outubro!M34+Novembro!M34+Dezembro!M34</f>
        <v>0</v>
      </c>
      <c r="K48" s="32">
        <f>IF(H5=0,0,J48/H5)</f>
        <v>0</v>
      </c>
      <c r="L48" s="32">
        <f>IF(E5=0,0,J48/E5)</f>
        <v>0</v>
      </c>
      <c r="M48" s="34" t="str">
        <f t="shared" si="8"/>
        <v>🟢 OK</v>
      </c>
      <c r="N48" s="21" t="s">
        <v>80</v>
      </c>
    </row>
    <row r="49" ht="15.75" customHeight="1">
      <c r="I49" s="23" t="s">
        <v>38</v>
      </c>
      <c r="J49" s="19">
        <f>Janeiro!M35+Fevereiro!M35+'Março'!M35+Abril!M35+Maio!M35+Junho!M35+Julho!M35+Agosto!M35+Setembro!M35+Outubro!M35+Novembro!M35+Dezembro!M35</f>
        <v>0</v>
      </c>
      <c r="K49" s="32">
        <f>IF(H5=0,0,J49/H5)</f>
        <v>0</v>
      </c>
      <c r="L49" s="32">
        <f>IF(E5=0,0,J49/E5)</f>
        <v>0</v>
      </c>
      <c r="M49" s="34" t="str">
        <f t="shared" si="8"/>
        <v>🟢 OK</v>
      </c>
      <c r="N49" s="21" t="s">
        <v>39</v>
      </c>
    </row>
    <row r="50" ht="15.75" customHeight="1">
      <c r="I50" s="28" t="s">
        <v>40</v>
      </c>
      <c r="J50" s="35">
        <f>SUM(J36:J49)</f>
        <v>14016.78</v>
      </c>
      <c r="K50" s="33">
        <f>IF(J50=0,0,1)</f>
        <v>1</v>
      </c>
      <c r="L50" s="33">
        <f>IF(E5=0,0,J50/E5)</f>
        <v>2.192519944</v>
      </c>
      <c r="M50" s="36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B64" s="12" t="s">
        <v>81</v>
      </c>
      <c r="C64" s="8"/>
      <c r="D64" s="8"/>
      <c r="E64" s="8"/>
      <c r="F64" s="8"/>
      <c r="G64" s="8"/>
      <c r="H64" s="9"/>
      <c r="J64" s="7" t="s">
        <v>82</v>
      </c>
      <c r="K64" s="8"/>
      <c r="L64" s="8"/>
      <c r="M64" s="8"/>
      <c r="N64" s="8"/>
      <c r="O64" s="9"/>
    </row>
    <row r="65" ht="15.75" customHeight="1">
      <c r="B65" s="17" t="s">
        <v>83</v>
      </c>
      <c r="C65" s="17" t="s">
        <v>84</v>
      </c>
      <c r="D65" s="17" t="s">
        <v>85</v>
      </c>
      <c r="E65" s="17" t="s">
        <v>86</v>
      </c>
      <c r="F65" s="17" t="s">
        <v>87</v>
      </c>
      <c r="G65" s="17" t="s">
        <v>88</v>
      </c>
      <c r="H65" s="17" t="s">
        <v>89</v>
      </c>
      <c r="J65" s="17" t="s">
        <v>90</v>
      </c>
      <c r="K65" s="17" t="s">
        <v>91</v>
      </c>
      <c r="L65" s="17" t="s">
        <v>92</v>
      </c>
      <c r="M65" s="17" t="s">
        <v>93</v>
      </c>
      <c r="N65" s="17" t="s">
        <v>88</v>
      </c>
    </row>
    <row r="66" ht="15.75" customHeight="1">
      <c r="B66" s="30" t="s">
        <v>94</v>
      </c>
      <c r="C66" s="33">
        <v>0.55</v>
      </c>
      <c r="D66" s="19">
        <f>Janeiro!N7+Fevereiro!N7+'Março'!N7+Abril!N7+Maio!N7+Junho!N7+Julho!N7+Agosto!N7+Setembro!N7+Outubro!N7+Novembro!N7+Dezembro!N7</f>
        <v>3516.15</v>
      </c>
      <c r="E66" s="32">
        <f>IF(E5=0,0,D66/E5)</f>
        <v>0.55</v>
      </c>
      <c r="F66" s="32">
        <f t="shared" ref="F66:F71" si="9">E66-C66</f>
        <v>0</v>
      </c>
      <c r="G66" s="34" t="str">
        <f t="shared" ref="G66:G71" si="10">IF(ABS(F66)&lt;=0.03,"✅ OK",IF(F66&gt;0,"⬆️ Acima","⬇️ Abaixo"))</f>
        <v>✅ OK</v>
      </c>
      <c r="H66" s="19">
        <f>E5*C66</f>
        <v>3516.15</v>
      </c>
      <c r="I66" s="21" t="s">
        <v>95</v>
      </c>
      <c r="J66" s="22" t="s">
        <v>96</v>
      </c>
      <c r="K66" s="37">
        <f>(O24+O25)/12*6</f>
        <v>7928.39</v>
      </c>
      <c r="L66" s="38">
        <f>'Configuração'!D8</f>
        <v>30000</v>
      </c>
      <c r="M66" s="39">
        <f t="shared" ref="M66:M69" si="11">IF(L66=0,0,MIN(K66/L66,1))</f>
        <v>0.2642796667</v>
      </c>
      <c r="N66" s="40" t="str">
        <f t="shared" ref="N66:N69" si="12">IF(M66&gt;=1,"✅ Atingida!",IF(M66&gt;=0.7,"🔥 Quase!",IF(M66&gt;=0.3,"⚡ Progresso","🚀 Comece!")))</f>
        <v>🚀 Comece!</v>
      </c>
    </row>
    <row r="67" ht="15.75" customHeight="1">
      <c r="B67" s="25" t="s">
        <v>97</v>
      </c>
      <c r="C67" s="33">
        <v>0.1</v>
      </c>
      <c r="D67" s="19">
        <f>Janeiro!N8+Fevereiro!N8+'Março'!N8+Abril!N8+Maio!N8+Junho!N8+Julho!N8+Agosto!N8+Setembro!N8+Outubro!N8+Novembro!N8+Dezembro!N8</f>
        <v>639.3</v>
      </c>
      <c r="E67" s="32">
        <f>IF(E5=0,0,D67/E5)</f>
        <v>0.1</v>
      </c>
      <c r="F67" s="32">
        <f t="shared" si="9"/>
        <v>0</v>
      </c>
      <c r="G67" s="34" t="str">
        <f t="shared" si="10"/>
        <v>✅ OK</v>
      </c>
      <c r="H67" s="19">
        <f>E5*C67</f>
        <v>639.3</v>
      </c>
      <c r="I67" s="21" t="s">
        <v>98</v>
      </c>
      <c r="J67" s="22" t="s">
        <v>99</v>
      </c>
      <c r="K67" s="37">
        <f>N28</f>
        <v>-9463.78</v>
      </c>
      <c r="L67" s="38">
        <f>'Configuração'!D9</f>
        <v>12000</v>
      </c>
      <c r="M67" s="39">
        <f t="shared" si="11"/>
        <v>-0.7886483333</v>
      </c>
      <c r="N67" s="40" t="str">
        <f t="shared" si="12"/>
        <v>🚀 Comece!</v>
      </c>
    </row>
    <row r="68" ht="15.75" customHeight="1">
      <c r="B68" s="31" t="s">
        <v>100</v>
      </c>
      <c r="C68" s="33">
        <v>0.1</v>
      </c>
      <c r="D68" s="19">
        <f>Janeiro!N9+Fevereiro!N9+'Março'!N9+Abril!N9+Maio!N9+Junho!N9+Julho!N9+Agosto!N9+Setembro!N9+Outubro!N9+Novembro!N9+Dezembro!N9</f>
        <v>639.3</v>
      </c>
      <c r="E68" s="32">
        <f>IF(E5=0,0,D68/E5)</f>
        <v>0.1</v>
      </c>
      <c r="F68" s="32">
        <f t="shared" si="9"/>
        <v>0</v>
      </c>
      <c r="G68" s="34" t="str">
        <f t="shared" si="10"/>
        <v>✅ OK</v>
      </c>
      <c r="H68" s="19">
        <f>E5*C68</f>
        <v>639.3</v>
      </c>
      <c r="I68" s="21" t="s">
        <v>101</v>
      </c>
      <c r="J68" s="22" t="s">
        <v>102</v>
      </c>
      <c r="K68" s="37">
        <f>'Configuração'!D11</f>
        <v>0</v>
      </c>
      <c r="L68" s="38">
        <f>'Configuração'!D12</f>
        <v>1000</v>
      </c>
      <c r="M68" s="39">
        <f t="shared" si="11"/>
        <v>0</v>
      </c>
      <c r="N68" s="40" t="str">
        <f t="shared" si="12"/>
        <v>🚀 Comece!</v>
      </c>
    </row>
    <row r="69" ht="15.75" customHeight="1">
      <c r="B69" s="29" t="s">
        <v>103</v>
      </c>
      <c r="C69" s="33">
        <v>0.1</v>
      </c>
      <c r="D69" s="19">
        <f>Janeiro!N10+Fevereiro!N10+'Março'!N10+Abril!N10+Maio!N10+Junho!N10+Julho!N10+Agosto!N10+Setembro!N10+Outubro!N10+Novembro!N10+Dezembro!N10</f>
        <v>639.3</v>
      </c>
      <c r="E69" s="32">
        <f>IF(E5=0,0,D69/E5)</f>
        <v>0.1</v>
      </c>
      <c r="F69" s="32">
        <f t="shared" si="9"/>
        <v>0</v>
      </c>
      <c r="G69" s="34" t="str">
        <f t="shared" si="10"/>
        <v>✅ OK</v>
      </c>
      <c r="H69" s="19">
        <f>E5*C69</f>
        <v>639.3</v>
      </c>
      <c r="I69" s="21" t="s">
        <v>104</v>
      </c>
      <c r="J69" s="22" t="s">
        <v>105</v>
      </c>
      <c r="K69" s="37">
        <f>B5</f>
        <v>-9463.78</v>
      </c>
      <c r="L69" s="38">
        <f>'Configuração'!D10</f>
        <v>50000</v>
      </c>
      <c r="M69" s="39">
        <f t="shared" si="11"/>
        <v>-0.1892756</v>
      </c>
      <c r="N69" s="40" t="str">
        <f t="shared" si="12"/>
        <v>🚀 Comece!</v>
      </c>
    </row>
    <row r="70" ht="15.75" customHeight="1">
      <c r="B70" s="28" t="s">
        <v>106</v>
      </c>
      <c r="C70" s="33">
        <v>0.1</v>
      </c>
      <c r="D70" s="19">
        <f>Janeiro!N11+Fevereiro!N11+'Março'!N11+Abril!N11+Maio!N11+Junho!N11+Julho!N11+Agosto!N11+Setembro!N11+Outubro!N11+Novembro!N11+Dezembro!N11</f>
        <v>639.3</v>
      </c>
      <c r="E70" s="32">
        <f>IF(E5=0,0,D70/E5)</f>
        <v>0.1</v>
      </c>
      <c r="F70" s="32">
        <f t="shared" si="9"/>
        <v>0</v>
      </c>
      <c r="G70" s="34" t="str">
        <f t="shared" si="10"/>
        <v>✅ OK</v>
      </c>
      <c r="H70" s="19">
        <f>E5*C70</f>
        <v>639.3</v>
      </c>
      <c r="I70" s="21" t="s">
        <v>107</v>
      </c>
      <c r="J70" s="22" t="s">
        <v>108</v>
      </c>
      <c r="K70" s="37">
        <f>(O24+O25)/12</f>
        <v>1321.398333</v>
      </c>
      <c r="L70" s="19" t="s">
        <v>109</v>
      </c>
      <c r="M70" s="19" t="s">
        <v>109</v>
      </c>
      <c r="N70" s="41" t="s">
        <v>110</v>
      </c>
    </row>
    <row r="71" ht="15.75" customHeight="1">
      <c r="B71" s="42" t="s">
        <v>111</v>
      </c>
      <c r="C71" s="33">
        <v>0.05</v>
      </c>
      <c r="D71" s="19">
        <f>Janeiro!N12+Fevereiro!N12+'Março'!N12+Abril!N12+Maio!N12+Junho!N12+Julho!N12+Agosto!N12+Setembro!N12+Outubro!N12+Novembro!N12+Dezembro!N12</f>
        <v>319.65</v>
      </c>
      <c r="E71" s="32">
        <f>IF(E5=0,0,D71/E5)</f>
        <v>0.05</v>
      </c>
      <c r="F71" s="32">
        <f t="shared" si="9"/>
        <v>0</v>
      </c>
      <c r="G71" s="34" t="str">
        <f t="shared" si="10"/>
        <v>✅ OK</v>
      </c>
      <c r="H71" s="19">
        <f>E5*C71</f>
        <v>319.65</v>
      </c>
      <c r="I71" s="21" t="s">
        <v>112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5:J5"/>
    <mergeCell ref="K5:M5"/>
    <mergeCell ref="B7:O7"/>
    <mergeCell ref="B21:O21"/>
    <mergeCell ref="I34:O34"/>
    <mergeCell ref="B64:H64"/>
    <mergeCell ref="J64:O64"/>
    <mergeCell ref="B1:O2"/>
    <mergeCell ref="B4:D4"/>
    <mergeCell ref="E4:G4"/>
    <mergeCell ref="H4:J4"/>
    <mergeCell ref="K4:M4"/>
    <mergeCell ref="B5:D5"/>
    <mergeCell ref="E5:G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30.0"/>
    <col customWidth="1" min="4" max="4" width="22.0"/>
    <col customWidth="1" min="5" max="5" width="30.0"/>
    <col customWidth="1" min="6" max="6" width="24.0"/>
    <col customWidth="1" min="7" max="26" width="8.71"/>
  </cols>
  <sheetData>
    <row r="1" ht="15.0" customHeight="1">
      <c r="B1" s="1" t="s">
        <v>113</v>
      </c>
      <c r="C1" s="2"/>
      <c r="D1" s="2"/>
      <c r="E1" s="2"/>
      <c r="F1" s="3"/>
    </row>
    <row r="2">
      <c r="B2" s="4"/>
      <c r="C2" s="5"/>
      <c r="D2" s="5"/>
      <c r="E2" s="5"/>
      <c r="F2" s="6"/>
    </row>
    <row r="4" ht="15.75" customHeight="1">
      <c r="B4" s="10" t="s">
        <v>114</v>
      </c>
      <c r="C4" s="8"/>
      <c r="D4" s="8"/>
      <c r="E4" s="8"/>
      <c r="F4" s="9"/>
    </row>
    <row r="5">
      <c r="B5" s="17" t="s">
        <v>115</v>
      </c>
      <c r="C5" s="17" t="s">
        <v>116</v>
      </c>
      <c r="D5" s="17" t="s">
        <v>117</v>
      </c>
      <c r="E5" s="17" t="s">
        <v>118</v>
      </c>
    </row>
    <row r="6">
      <c r="B6" s="43">
        <v>1.0</v>
      </c>
      <c r="C6" s="18" t="s">
        <v>119</v>
      </c>
      <c r="D6" s="44">
        <v>0.0</v>
      </c>
      <c r="E6" s="45" t="s">
        <v>120</v>
      </c>
    </row>
    <row r="7">
      <c r="B7" s="46">
        <v>2.0</v>
      </c>
      <c r="C7" s="22" t="s">
        <v>121</v>
      </c>
      <c r="D7" s="44">
        <v>0.0</v>
      </c>
      <c r="E7" s="45" t="s">
        <v>122</v>
      </c>
    </row>
    <row r="8">
      <c r="B8" s="43">
        <v>3.0</v>
      </c>
      <c r="C8" s="18" t="s">
        <v>123</v>
      </c>
      <c r="D8" s="47">
        <v>30000.0</v>
      </c>
      <c r="E8" s="45" t="s">
        <v>124</v>
      </c>
    </row>
    <row r="9">
      <c r="B9" s="46">
        <v>4.0</v>
      </c>
      <c r="C9" s="22" t="s">
        <v>125</v>
      </c>
      <c r="D9" s="47">
        <v>12000.0</v>
      </c>
      <c r="E9" s="45" t="s">
        <v>126</v>
      </c>
    </row>
    <row r="10">
      <c r="B10" s="43">
        <v>5.0</v>
      </c>
      <c r="C10" s="18" t="s">
        <v>127</v>
      </c>
      <c r="D10" s="47">
        <v>50000.0</v>
      </c>
      <c r="E10" s="45" t="s">
        <v>128</v>
      </c>
    </row>
    <row r="11">
      <c r="B11" s="46">
        <v>6.0</v>
      </c>
      <c r="C11" s="22" t="s">
        <v>129</v>
      </c>
      <c r="D11" s="47">
        <v>0.0</v>
      </c>
      <c r="E11" s="45" t="s">
        <v>130</v>
      </c>
    </row>
    <row r="12">
      <c r="B12" s="43">
        <v>7.0</v>
      </c>
      <c r="C12" s="18" t="s">
        <v>131</v>
      </c>
      <c r="D12" s="47">
        <v>1000.0</v>
      </c>
      <c r="E12" s="45" t="s">
        <v>132</v>
      </c>
    </row>
    <row r="14" ht="15.75" customHeight="1">
      <c r="B14" s="7" t="s">
        <v>133</v>
      </c>
      <c r="C14" s="8"/>
      <c r="D14" s="8"/>
      <c r="E14" s="8"/>
      <c r="F14" s="9"/>
    </row>
    <row r="15">
      <c r="B15" s="17" t="s">
        <v>115</v>
      </c>
      <c r="C15" s="17" t="s">
        <v>6</v>
      </c>
      <c r="D15" s="17" t="s">
        <v>134</v>
      </c>
      <c r="E15" s="17" t="s">
        <v>135</v>
      </c>
    </row>
    <row r="16">
      <c r="B16" s="43">
        <v>1.0</v>
      </c>
      <c r="C16" s="48" t="s">
        <v>21</v>
      </c>
      <c r="D16" s="49" t="s">
        <v>136</v>
      </c>
      <c r="E16" s="50" t="s">
        <v>137</v>
      </c>
    </row>
    <row r="17">
      <c r="B17" s="46">
        <v>2.0</v>
      </c>
      <c r="C17" s="48" t="s">
        <v>23</v>
      </c>
      <c r="D17" s="49" t="s">
        <v>136</v>
      </c>
      <c r="E17" s="50" t="s">
        <v>138</v>
      </c>
    </row>
    <row r="18">
      <c r="B18" s="43">
        <v>3.0</v>
      </c>
      <c r="C18" s="48" t="s">
        <v>25</v>
      </c>
      <c r="D18" s="49" t="s">
        <v>139</v>
      </c>
      <c r="E18" s="50" t="s">
        <v>140</v>
      </c>
    </row>
    <row r="19">
      <c r="B19" s="46">
        <v>4.0</v>
      </c>
      <c r="C19" s="48" t="s">
        <v>27</v>
      </c>
      <c r="D19" s="49" t="s">
        <v>139</v>
      </c>
      <c r="E19" s="50" t="s">
        <v>141</v>
      </c>
    </row>
    <row r="20">
      <c r="B20" s="43">
        <v>5.0</v>
      </c>
      <c r="C20" s="48" t="s">
        <v>29</v>
      </c>
      <c r="D20" s="49" t="s">
        <v>139</v>
      </c>
      <c r="E20" s="50" t="s">
        <v>142</v>
      </c>
    </row>
    <row r="21" ht="15.75" customHeight="1">
      <c r="B21" s="46">
        <v>6.0</v>
      </c>
      <c r="C21" s="48" t="s">
        <v>31</v>
      </c>
      <c r="D21" s="49" t="s">
        <v>139</v>
      </c>
      <c r="E21" s="50" t="s">
        <v>137</v>
      </c>
    </row>
    <row r="22" ht="15.75" customHeight="1">
      <c r="B22" s="43">
        <v>7.0</v>
      </c>
      <c r="C22" s="48" t="s">
        <v>33</v>
      </c>
      <c r="D22" s="49" t="s">
        <v>139</v>
      </c>
      <c r="E22" s="50" t="s">
        <v>140</v>
      </c>
    </row>
    <row r="23" ht="15.75" customHeight="1">
      <c r="B23" s="46">
        <v>8.0</v>
      </c>
      <c r="C23" s="48" t="s">
        <v>35</v>
      </c>
      <c r="D23" s="49" t="s">
        <v>139</v>
      </c>
      <c r="E23" s="50" t="s">
        <v>143</v>
      </c>
    </row>
    <row r="24" ht="15.75" customHeight="1">
      <c r="B24" s="43">
        <v>9.0</v>
      </c>
      <c r="C24" s="48" t="s">
        <v>37</v>
      </c>
      <c r="D24" s="49" t="s">
        <v>139</v>
      </c>
      <c r="E24" s="50" t="s">
        <v>144</v>
      </c>
    </row>
    <row r="25" ht="15.75" customHeight="1">
      <c r="B25" s="46">
        <v>10.0</v>
      </c>
      <c r="C25" s="48" t="s">
        <v>39</v>
      </c>
      <c r="D25" s="49" t="s">
        <v>139</v>
      </c>
      <c r="E25" s="50" t="s">
        <v>144</v>
      </c>
    </row>
    <row r="26" ht="15.75" customHeight="1"/>
    <row r="27" ht="15.75" customHeight="1">
      <c r="B27" s="12" t="s">
        <v>145</v>
      </c>
      <c r="C27" s="8"/>
      <c r="D27" s="8"/>
      <c r="E27" s="8"/>
      <c r="F27" s="9"/>
    </row>
    <row r="28" ht="15.75" customHeight="1">
      <c r="B28" s="17" t="s">
        <v>83</v>
      </c>
      <c r="C28" s="17" t="s">
        <v>146</v>
      </c>
      <c r="D28" s="17" t="s">
        <v>147</v>
      </c>
      <c r="E28" s="17" t="s">
        <v>148</v>
      </c>
    </row>
    <row r="29" ht="15.75" customHeight="1">
      <c r="B29" s="51" t="s">
        <v>149</v>
      </c>
      <c r="C29" s="30" t="s">
        <v>150</v>
      </c>
      <c r="D29" s="52">
        <v>0.55</v>
      </c>
      <c r="E29" s="19">
        <f>D7*D29</f>
        <v>0</v>
      </c>
      <c r="F29" s="53" t="s">
        <v>151</v>
      </c>
    </row>
    <row r="30" ht="15.75" customHeight="1">
      <c r="B30" s="54" t="s">
        <v>152</v>
      </c>
      <c r="C30" s="25" t="s">
        <v>153</v>
      </c>
      <c r="D30" s="52">
        <v>0.1</v>
      </c>
      <c r="E30" s="19">
        <f>D7*D30</f>
        <v>0</v>
      </c>
      <c r="F30" s="53" t="s">
        <v>154</v>
      </c>
    </row>
    <row r="31" ht="15.75" customHeight="1">
      <c r="B31" s="55" t="s">
        <v>155</v>
      </c>
      <c r="C31" s="31" t="s">
        <v>156</v>
      </c>
      <c r="D31" s="52">
        <v>0.1</v>
      </c>
      <c r="E31" s="19">
        <f>D7*D31</f>
        <v>0</v>
      </c>
      <c r="F31" s="53" t="s">
        <v>157</v>
      </c>
    </row>
    <row r="32" ht="15.75" customHeight="1">
      <c r="B32" s="56" t="s">
        <v>158</v>
      </c>
      <c r="C32" s="29" t="s">
        <v>159</v>
      </c>
      <c r="D32" s="52">
        <v>0.1</v>
      </c>
      <c r="E32" s="19">
        <f>D7*D32</f>
        <v>0</v>
      </c>
      <c r="F32" s="53" t="s">
        <v>160</v>
      </c>
    </row>
    <row r="33" ht="15.75" customHeight="1">
      <c r="B33" s="57" t="s">
        <v>161</v>
      </c>
      <c r="C33" s="28" t="s">
        <v>162</v>
      </c>
      <c r="D33" s="52">
        <v>0.1</v>
      </c>
      <c r="E33" s="19">
        <f>D7*D33</f>
        <v>0</v>
      </c>
      <c r="F33" s="53" t="s">
        <v>163</v>
      </c>
    </row>
    <row r="34" ht="15.75" customHeight="1">
      <c r="B34" s="58" t="s">
        <v>164</v>
      </c>
      <c r="C34" s="42" t="s">
        <v>165</v>
      </c>
      <c r="D34" s="52">
        <v>0.05</v>
      </c>
      <c r="E34" s="19">
        <f>D7*D34</f>
        <v>0</v>
      </c>
      <c r="F34" s="53" t="s">
        <v>166</v>
      </c>
    </row>
    <row r="35" ht="15.75" customHeight="1">
      <c r="B35" s="59" t="s">
        <v>167</v>
      </c>
      <c r="C35" s="60" t="s">
        <v>19</v>
      </c>
      <c r="D35" s="33">
        <f t="shared" ref="D35:E35" si="1">SUM(D29:D34)</f>
        <v>1</v>
      </c>
      <c r="E35" s="20">
        <f t="shared" si="1"/>
        <v>0</v>
      </c>
      <c r="F35" s="61" t="str">
        <f>IF(D35=1,"✅ 100%","⚠️ ERRO: deve somar 100%!")</f>
        <v>✅ 100%</v>
      </c>
    </row>
    <row r="36" ht="15.75" customHeight="1"/>
    <row r="37" ht="15.75" customHeight="1">
      <c r="B37" s="11" t="s">
        <v>168</v>
      </c>
      <c r="C37" s="8"/>
      <c r="D37" s="8"/>
      <c r="E37" s="8"/>
      <c r="F37" s="9"/>
    </row>
    <row r="38" ht="15.75" customHeight="1">
      <c r="B38" s="17" t="s">
        <v>115</v>
      </c>
      <c r="C38" s="17" t="s">
        <v>169</v>
      </c>
      <c r="D38" s="17" t="s">
        <v>170</v>
      </c>
      <c r="E38" s="17" t="s">
        <v>50</v>
      </c>
      <c r="F38" s="17" t="s">
        <v>171</v>
      </c>
    </row>
    <row r="39" ht="15.75" customHeight="1">
      <c r="B39" s="43">
        <v>1.0</v>
      </c>
      <c r="C39" s="48" t="s">
        <v>172</v>
      </c>
      <c r="D39" s="47"/>
      <c r="E39" s="49" t="s">
        <v>56</v>
      </c>
      <c r="F39" s="49">
        <v>5.0</v>
      </c>
    </row>
    <row r="40" ht="15.75" customHeight="1">
      <c r="B40" s="46">
        <v>2.0</v>
      </c>
      <c r="C40" s="48" t="s">
        <v>173</v>
      </c>
      <c r="D40" s="47"/>
      <c r="E40" s="49" t="s">
        <v>56</v>
      </c>
      <c r="F40" s="49">
        <v>10.0</v>
      </c>
    </row>
    <row r="41" ht="15.75" customHeight="1">
      <c r="B41" s="43">
        <v>3.0</v>
      </c>
      <c r="C41" s="48" t="s">
        <v>174</v>
      </c>
      <c r="D41" s="47"/>
      <c r="E41" s="49" t="s">
        <v>76</v>
      </c>
      <c r="F41" s="49">
        <v>15.0</v>
      </c>
    </row>
    <row r="42" ht="15.75" customHeight="1">
      <c r="B42" s="46">
        <v>4.0</v>
      </c>
      <c r="C42" s="48" t="s">
        <v>175</v>
      </c>
      <c r="D42" s="44">
        <v>200.0</v>
      </c>
      <c r="E42" s="49" t="s">
        <v>56</v>
      </c>
      <c r="F42" s="49">
        <v>10.0</v>
      </c>
    </row>
    <row r="43" ht="15.75" customHeight="1">
      <c r="B43" s="43">
        <v>5.0</v>
      </c>
      <c r="C43" s="48" t="s">
        <v>176</v>
      </c>
      <c r="D43" s="47"/>
      <c r="E43" s="49" t="s">
        <v>56</v>
      </c>
      <c r="F43" s="49">
        <v>15.0</v>
      </c>
    </row>
    <row r="44" ht="15.75" customHeight="1">
      <c r="B44" s="46">
        <v>6.0</v>
      </c>
      <c r="C44" s="48" t="s">
        <v>177</v>
      </c>
      <c r="D44" s="47"/>
      <c r="E44" s="49" t="s">
        <v>56</v>
      </c>
      <c r="F44" s="49">
        <v>20.0</v>
      </c>
    </row>
    <row r="45" ht="15.75" customHeight="1">
      <c r="B45" s="43">
        <v>7.0</v>
      </c>
      <c r="C45" s="48" t="s">
        <v>178</v>
      </c>
      <c r="D45" s="44">
        <v>100.0</v>
      </c>
      <c r="E45" s="49" t="s">
        <v>70</v>
      </c>
      <c r="F45" s="49">
        <v>10.0</v>
      </c>
    </row>
    <row r="46" ht="15.75" customHeight="1">
      <c r="B46" s="46">
        <v>8.0</v>
      </c>
      <c r="C46" s="48" t="s">
        <v>179</v>
      </c>
      <c r="D46" s="44">
        <v>60.0</v>
      </c>
      <c r="E46" s="49" t="s">
        <v>70</v>
      </c>
      <c r="F46" s="49">
        <v>12.0</v>
      </c>
    </row>
    <row r="47" ht="15.75" customHeight="1">
      <c r="B47" s="43">
        <v>9.0</v>
      </c>
      <c r="C47" s="48" t="s">
        <v>180</v>
      </c>
      <c r="D47" s="47"/>
      <c r="E47" s="49" t="s">
        <v>62</v>
      </c>
      <c r="F47" s="49">
        <v>5.0</v>
      </c>
    </row>
    <row r="48" ht="15.75" customHeight="1">
      <c r="B48" s="46">
        <v>10.0</v>
      </c>
      <c r="C48" s="48" t="s">
        <v>181</v>
      </c>
      <c r="D48" s="47"/>
      <c r="E48" s="49" t="s">
        <v>74</v>
      </c>
      <c r="F48" s="49">
        <v>15.0</v>
      </c>
    </row>
    <row r="49" ht="15.75" customHeight="1">
      <c r="B49" s="43">
        <v>11.0</v>
      </c>
      <c r="C49" s="48" t="s">
        <v>182</v>
      </c>
      <c r="D49" s="44">
        <v>200.0</v>
      </c>
      <c r="E49" s="49" t="s">
        <v>60</v>
      </c>
      <c r="F49" s="49">
        <v>1.0</v>
      </c>
    </row>
    <row r="50" ht="15.75" customHeight="1">
      <c r="B50" s="46">
        <v>12.0</v>
      </c>
      <c r="C50" s="48" t="s">
        <v>183</v>
      </c>
      <c r="D50" s="47"/>
      <c r="E50" s="49" t="s">
        <v>58</v>
      </c>
      <c r="F50" s="49">
        <v>1.0</v>
      </c>
    </row>
    <row r="51" ht="15.75" customHeight="1">
      <c r="B51" s="43">
        <v>13.0</v>
      </c>
      <c r="C51" s="48" t="s">
        <v>184</v>
      </c>
      <c r="D51" s="47"/>
      <c r="E51" s="49" t="s">
        <v>62</v>
      </c>
      <c r="F51" s="49">
        <v>1.0</v>
      </c>
    </row>
    <row r="52" ht="15.75" customHeight="1">
      <c r="B52" s="46">
        <v>14.0</v>
      </c>
      <c r="C52" s="48" t="s">
        <v>185</v>
      </c>
      <c r="D52" s="47"/>
      <c r="E52" s="49" t="s">
        <v>62</v>
      </c>
      <c r="F52" s="49">
        <v>5.0</v>
      </c>
    </row>
    <row r="53" ht="15.75" customHeight="1">
      <c r="B53" s="43">
        <v>15.0</v>
      </c>
      <c r="C53" s="48" t="s">
        <v>186</v>
      </c>
      <c r="D53" s="44">
        <v>59.9</v>
      </c>
      <c r="E53" s="49" t="s">
        <v>66</v>
      </c>
      <c r="F53" s="49">
        <v>1.0</v>
      </c>
    </row>
    <row r="54" ht="15.75" customHeight="1">
      <c r="B54" s="46">
        <v>16.0</v>
      </c>
      <c r="C54" s="48" t="s">
        <v>187</v>
      </c>
      <c r="D54" s="47"/>
      <c r="E54" s="49" t="s">
        <v>72</v>
      </c>
      <c r="F54" s="49">
        <v>1.0</v>
      </c>
    </row>
    <row r="55" ht="15.75" customHeight="1">
      <c r="B55" s="43">
        <v>17.0</v>
      </c>
      <c r="C55" s="48" t="s">
        <v>188</v>
      </c>
      <c r="D55" s="47"/>
      <c r="E55" s="49" t="s">
        <v>64</v>
      </c>
      <c r="F55" s="49">
        <v>1.0</v>
      </c>
    </row>
    <row r="56" ht="15.75" customHeight="1">
      <c r="B56" s="46">
        <v>18.0</v>
      </c>
      <c r="C56" s="48" t="s">
        <v>189</v>
      </c>
      <c r="D56" s="47">
        <v>0.0</v>
      </c>
      <c r="E56" s="49" t="s">
        <v>78</v>
      </c>
      <c r="F56" s="49">
        <v>1.0</v>
      </c>
    </row>
    <row r="57" ht="15.75" customHeight="1">
      <c r="B57" s="43">
        <v>19.0</v>
      </c>
      <c r="C57" s="48" t="s">
        <v>156</v>
      </c>
      <c r="D57" s="47">
        <v>0.0</v>
      </c>
      <c r="E57" s="49" t="s">
        <v>78</v>
      </c>
      <c r="F57" s="49">
        <v>1.0</v>
      </c>
    </row>
    <row r="58" ht="15.75" customHeight="1">
      <c r="B58" s="46">
        <v>20.0</v>
      </c>
      <c r="C58" s="48" t="s">
        <v>190</v>
      </c>
      <c r="D58" s="47">
        <v>0.0</v>
      </c>
      <c r="E58" s="49" t="s">
        <v>80</v>
      </c>
      <c r="F58" s="49">
        <v>1.0</v>
      </c>
    </row>
    <row r="59" ht="15.75" customHeight="1">
      <c r="B59" s="43">
        <v>21.0</v>
      </c>
      <c r="C59" s="62" t="s">
        <v>191</v>
      </c>
      <c r="D59" s="63">
        <v>470.0</v>
      </c>
      <c r="E59" s="64" t="s">
        <v>64</v>
      </c>
      <c r="F59" s="64">
        <v>28.0</v>
      </c>
    </row>
    <row r="60" ht="15.75" customHeight="1">
      <c r="B60" s="46">
        <v>22.0</v>
      </c>
      <c r="C60" s="62" t="s">
        <v>192</v>
      </c>
      <c r="D60" s="63">
        <v>95.0</v>
      </c>
      <c r="E60" s="64" t="s">
        <v>193</v>
      </c>
      <c r="F60" s="49"/>
    </row>
    <row r="61" ht="15.75" customHeight="1">
      <c r="B61" s="43">
        <v>23.0</v>
      </c>
      <c r="C61" s="62"/>
      <c r="D61" s="63"/>
      <c r="E61" s="64"/>
      <c r="F61" s="49"/>
    </row>
    <row r="62" ht="15.75" customHeight="1">
      <c r="B62" s="46">
        <v>24.0</v>
      </c>
      <c r="C62" s="49"/>
      <c r="D62" s="65"/>
      <c r="E62" s="49"/>
      <c r="F62" s="49"/>
    </row>
    <row r="63" ht="15.75" customHeight="1">
      <c r="B63" s="43">
        <v>25.0</v>
      </c>
      <c r="C63" s="49"/>
      <c r="D63" s="65"/>
      <c r="E63" s="49"/>
      <c r="F63" s="49"/>
    </row>
    <row r="64" ht="15.75" customHeight="1">
      <c r="B64" s="46">
        <v>26.0</v>
      </c>
      <c r="C64" s="49"/>
      <c r="D64" s="65"/>
      <c r="E64" s="49"/>
      <c r="F64" s="49"/>
    </row>
    <row r="65" ht="15.75" customHeight="1">
      <c r="B65" s="43">
        <v>27.0</v>
      </c>
      <c r="C65" s="49"/>
      <c r="D65" s="65"/>
      <c r="E65" s="49"/>
      <c r="F65" s="49"/>
    </row>
    <row r="66" ht="15.75" customHeight="1">
      <c r="B66" s="46">
        <v>28.0</v>
      </c>
      <c r="C66" s="49"/>
      <c r="D66" s="65"/>
      <c r="E66" s="49"/>
      <c r="F66" s="49"/>
    </row>
    <row r="67" ht="15.75" customHeight="1">
      <c r="B67" s="43">
        <v>29.0</v>
      </c>
      <c r="C67" s="49"/>
      <c r="D67" s="65"/>
      <c r="E67" s="49"/>
      <c r="F67" s="49"/>
    </row>
    <row r="68" ht="15.75" customHeight="1">
      <c r="B68" s="46">
        <v>30.0</v>
      </c>
      <c r="C68" s="49"/>
      <c r="D68" s="65"/>
      <c r="E68" s="49"/>
      <c r="F68" s="49"/>
    </row>
    <row r="69" ht="15.75" customHeight="1">
      <c r="B69" s="66" t="s">
        <v>194</v>
      </c>
      <c r="C69" s="28" t="s">
        <v>195</v>
      </c>
      <c r="D69" s="67">
        <f>SUM(D39:D68)</f>
        <v>1184.9</v>
      </c>
      <c r="E69" s="68" t="str">
        <f>IF(D69&gt;D7*D29,"🔴 ACIMA do NEC!","✅ Dentro do limite")</f>
        <v>🔴 ACIMA do NEC!</v>
      </c>
      <c r="F69" s="69">
        <f>IF(D7&gt;0,D69/D7,0)</f>
        <v>0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F2"/>
    <mergeCell ref="B4:F4"/>
    <mergeCell ref="B14:F14"/>
    <mergeCell ref="B27:F27"/>
    <mergeCell ref="B37:F3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196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'Configuração'!D6</f>
        <v>0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-1184.9</v>
      </c>
      <c r="E10" s="97">
        <f>D10</f>
        <v>-1184.9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-1184.9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239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Janeiro!E10</f>
        <v>-1184.9</v>
      </c>
      <c r="E4" s="73">
        <f>D5</f>
        <v>6393</v>
      </c>
      <c r="F4" s="74" t="s">
        <v>149</v>
      </c>
      <c r="G4" s="75" t="s">
        <v>200</v>
      </c>
      <c r="H4" s="19">
        <f>D5*'Configuração'!D29</f>
        <v>3516.15</v>
      </c>
    </row>
    <row r="5">
      <c r="B5" s="76" t="s">
        <v>201</v>
      </c>
      <c r="C5" s="22" t="s">
        <v>202</v>
      </c>
      <c r="D5" s="26">
        <f>E29</f>
        <v>6393</v>
      </c>
      <c r="E5" s="77">
        <f>D5</f>
        <v>6393</v>
      </c>
      <c r="F5" s="78" t="s">
        <v>152</v>
      </c>
      <c r="G5" s="79" t="s">
        <v>203</v>
      </c>
      <c r="H5" s="19">
        <f>D5*'Configuração'!D30</f>
        <v>639.3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639.3</v>
      </c>
    </row>
    <row r="7">
      <c r="B7" s="76" t="s">
        <v>207</v>
      </c>
      <c r="C7" s="22" t="s">
        <v>208</v>
      </c>
      <c r="D7" s="82">
        <f>E102</f>
        <v>1637.98</v>
      </c>
      <c r="E7" s="76"/>
      <c r="F7" s="83" t="s">
        <v>158</v>
      </c>
      <c r="G7" s="84" t="s">
        <v>209</v>
      </c>
      <c r="H7" s="19">
        <f>D5*'Configuração'!D32</f>
        <v>639.3</v>
      </c>
      <c r="J7" s="85">
        <f t="shared" ref="J7:J12" si="1">H4</f>
        <v>3516.15</v>
      </c>
      <c r="M7" s="85">
        <f t="shared" ref="M7:M16" si="2">C109</f>
        <v>0</v>
      </c>
      <c r="N7" s="85">
        <f t="shared" ref="N7:N12" si="3">H4</f>
        <v>3516.15</v>
      </c>
    </row>
    <row r="8">
      <c r="B8" s="86" t="s">
        <v>194</v>
      </c>
      <c r="C8" s="87" t="s">
        <v>210</v>
      </c>
      <c r="D8" s="35">
        <f>D6+D7</f>
        <v>2822.88</v>
      </c>
      <c r="E8" s="88">
        <f>IF(D5=0,0,D8/D5)</f>
        <v>0.441557954</v>
      </c>
      <c r="F8" s="66" t="s">
        <v>161</v>
      </c>
      <c r="G8" s="89" t="s">
        <v>211</v>
      </c>
      <c r="H8" s="19">
        <f>D5*'Configuração'!D33</f>
        <v>639.3</v>
      </c>
      <c r="J8" s="85">
        <f t="shared" si="1"/>
        <v>639.3</v>
      </c>
      <c r="M8" s="85">
        <f t="shared" si="2"/>
        <v>0</v>
      </c>
      <c r="N8" s="85">
        <f t="shared" si="3"/>
        <v>639.3</v>
      </c>
    </row>
    <row r="9">
      <c r="B9" s="90" t="s">
        <v>212</v>
      </c>
      <c r="C9" s="91" t="s">
        <v>213</v>
      </c>
      <c r="D9" s="37">
        <f>D5-D8</f>
        <v>3570.12</v>
      </c>
      <c r="E9" s="92">
        <f>IF(D5=0,0,D9/D5)</f>
        <v>0.558442046</v>
      </c>
      <c r="F9" s="93" t="s">
        <v>164</v>
      </c>
      <c r="G9" s="94" t="s">
        <v>214</v>
      </c>
      <c r="H9" s="19">
        <f>D5*'Configuração'!D34</f>
        <v>319.65</v>
      </c>
      <c r="J9" s="85">
        <f t="shared" si="1"/>
        <v>639.3</v>
      </c>
      <c r="M9" s="85">
        <f t="shared" si="2"/>
        <v>0</v>
      </c>
      <c r="N9" s="85">
        <f t="shared" si="3"/>
        <v>639.3</v>
      </c>
    </row>
    <row r="10">
      <c r="B10" s="54" t="s">
        <v>155</v>
      </c>
      <c r="C10" s="95" t="s">
        <v>215</v>
      </c>
      <c r="D10" s="96">
        <f>D4+D9</f>
        <v>2385.22</v>
      </c>
      <c r="E10" s="97">
        <f>D10</f>
        <v>2385.22</v>
      </c>
      <c r="J10" s="85">
        <f t="shared" si="1"/>
        <v>639.3</v>
      </c>
      <c r="M10" s="85">
        <f t="shared" si="2"/>
        <v>0</v>
      </c>
      <c r="N10" s="85">
        <f t="shared" si="3"/>
        <v>639.3</v>
      </c>
    </row>
    <row r="11">
      <c r="J11" s="85">
        <f t="shared" si="1"/>
        <v>639.3</v>
      </c>
      <c r="M11" s="85">
        <f t="shared" si="2"/>
        <v>0</v>
      </c>
      <c r="N11" s="85">
        <f t="shared" si="3"/>
        <v>639.3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319.65</v>
      </c>
      <c r="M12" s="85">
        <f t="shared" si="2"/>
        <v>0</v>
      </c>
      <c r="N12" s="85">
        <f t="shared" si="3"/>
        <v>319.65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119">
        <v>46358.0</v>
      </c>
      <c r="D14" s="62" t="s">
        <v>240</v>
      </c>
      <c r="E14" s="120">
        <v>4310.0</v>
      </c>
      <c r="F14" s="64" t="s">
        <v>241</v>
      </c>
      <c r="G14" s="64" t="s">
        <v>136</v>
      </c>
      <c r="H14" s="62" t="s">
        <v>242</v>
      </c>
      <c r="I14" s="70"/>
      <c r="M14" s="85">
        <f t="shared" si="2"/>
        <v>0</v>
      </c>
    </row>
    <row r="15">
      <c r="B15" s="100">
        <v>2.0</v>
      </c>
      <c r="C15" s="64" t="s">
        <v>243</v>
      </c>
      <c r="D15" s="62" t="s">
        <v>244</v>
      </c>
      <c r="E15" s="120">
        <v>1000.0</v>
      </c>
      <c r="F15" s="64" t="s">
        <v>244</v>
      </c>
      <c r="G15" s="64" t="s">
        <v>136</v>
      </c>
      <c r="H15" s="62" t="s">
        <v>245</v>
      </c>
      <c r="I15" s="76"/>
      <c r="M15" s="85">
        <f t="shared" si="2"/>
        <v>0</v>
      </c>
    </row>
    <row r="16">
      <c r="B16" s="98">
        <v>3.0</v>
      </c>
      <c r="C16" s="64" t="s">
        <v>246</v>
      </c>
      <c r="D16" s="62" t="s">
        <v>247</v>
      </c>
      <c r="E16" s="120">
        <v>333.0</v>
      </c>
      <c r="F16" s="64" t="s">
        <v>244</v>
      </c>
      <c r="G16" s="64" t="s">
        <v>136</v>
      </c>
      <c r="H16" s="62" t="s">
        <v>245</v>
      </c>
      <c r="I16" s="70"/>
      <c r="M16" s="85">
        <f t="shared" si="2"/>
        <v>0</v>
      </c>
    </row>
    <row r="17">
      <c r="B17" s="100">
        <v>4.0</v>
      </c>
      <c r="C17" s="64" t="s">
        <v>248</v>
      </c>
      <c r="D17" s="62" t="s">
        <v>249</v>
      </c>
      <c r="E17" s="120">
        <v>750.0</v>
      </c>
      <c r="F17" s="64" t="s">
        <v>241</v>
      </c>
      <c r="G17" s="64" t="s">
        <v>136</v>
      </c>
      <c r="H17" s="62" t="s">
        <v>250</v>
      </c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584.98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310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101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142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6393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64" t="s">
        <v>167</v>
      </c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64" t="s">
        <v>251</v>
      </c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64" t="s">
        <v>251</v>
      </c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64" t="s">
        <v>251</v>
      </c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64" t="s">
        <v>251</v>
      </c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64" t="s">
        <v>251</v>
      </c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64" t="s">
        <v>243</v>
      </c>
      <c r="D68" s="62" t="s">
        <v>252</v>
      </c>
      <c r="E68" s="121">
        <v>60.0</v>
      </c>
      <c r="F68" s="64" t="s">
        <v>60</v>
      </c>
      <c r="G68" s="49"/>
      <c r="H68" s="64" t="s">
        <v>253</v>
      </c>
      <c r="I68" s="62" t="s">
        <v>254</v>
      </c>
    </row>
    <row r="69" ht="15.75" customHeight="1">
      <c r="B69" s="100">
        <v>2.0</v>
      </c>
      <c r="C69" s="119">
        <v>46358.0</v>
      </c>
      <c r="D69" s="62" t="s">
        <v>255</v>
      </c>
      <c r="E69" s="121">
        <v>4.5</v>
      </c>
      <c r="F69" s="64" t="s">
        <v>58</v>
      </c>
      <c r="G69" s="49"/>
      <c r="H69" s="64" t="s">
        <v>253</v>
      </c>
      <c r="I69" s="48"/>
    </row>
    <row r="70" ht="15.75" customHeight="1">
      <c r="B70" s="109">
        <v>3.0</v>
      </c>
      <c r="C70" s="64" t="s">
        <v>243</v>
      </c>
      <c r="D70" s="62" t="s">
        <v>256</v>
      </c>
      <c r="E70" s="121">
        <v>76.0</v>
      </c>
      <c r="F70" s="64" t="s">
        <v>58</v>
      </c>
      <c r="G70" s="49"/>
      <c r="H70" s="64" t="s">
        <v>253</v>
      </c>
      <c r="I70" s="48"/>
    </row>
    <row r="71" ht="15.75" customHeight="1">
      <c r="B71" s="100">
        <v>4.0</v>
      </c>
      <c r="C71" s="64" t="s">
        <v>243</v>
      </c>
      <c r="D71" s="62" t="s">
        <v>257</v>
      </c>
      <c r="E71" s="121">
        <v>20.0</v>
      </c>
      <c r="F71" s="64" t="s">
        <v>60</v>
      </c>
      <c r="G71" s="49"/>
      <c r="H71" s="64" t="s">
        <v>253</v>
      </c>
      <c r="I71" s="48"/>
    </row>
    <row r="72" ht="15.75" customHeight="1">
      <c r="B72" s="109">
        <v>5.0</v>
      </c>
      <c r="C72" s="64" t="s">
        <v>243</v>
      </c>
      <c r="D72" s="62" t="s">
        <v>258</v>
      </c>
      <c r="E72" s="121">
        <v>101.0</v>
      </c>
      <c r="F72" s="64" t="s">
        <v>62</v>
      </c>
      <c r="G72" s="49"/>
      <c r="H72" s="64" t="s">
        <v>253</v>
      </c>
      <c r="I72" s="48"/>
    </row>
    <row r="73" ht="15.75" customHeight="1">
      <c r="B73" s="100">
        <v>6.0</v>
      </c>
      <c r="C73" s="64" t="s">
        <v>243</v>
      </c>
      <c r="D73" s="62" t="s">
        <v>255</v>
      </c>
      <c r="E73" s="121">
        <v>4.5</v>
      </c>
      <c r="F73" s="64" t="s">
        <v>58</v>
      </c>
      <c r="G73" s="49"/>
      <c r="H73" s="64" t="s">
        <v>253</v>
      </c>
      <c r="I73" s="48"/>
    </row>
    <row r="74" ht="15.75" customHeight="1">
      <c r="B74" s="109">
        <v>7.0</v>
      </c>
      <c r="C74" s="64" t="s">
        <v>243</v>
      </c>
      <c r="D74" s="62" t="s">
        <v>259</v>
      </c>
      <c r="E74" s="121">
        <v>17.0</v>
      </c>
      <c r="F74" s="64" t="s">
        <v>58</v>
      </c>
      <c r="G74" s="49"/>
      <c r="H74" s="64" t="s">
        <v>253</v>
      </c>
      <c r="I74" s="48"/>
    </row>
    <row r="75" ht="15.75" customHeight="1">
      <c r="B75" s="100">
        <v>8.0</v>
      </c>
      <c r="C75" s="64" t="s">
        <v>243</v>
      </c>
      <c r="D75" s="62" t="s">
        <v>260</v>
      </c>
      <c r="E75" s="121">
        <v>400.0</v>
      </c>
      <c r="F75" s="64" t="s">
        <v>261</v>
      </c>
      <c r="G75" s="49"/>
      <c r="H75" s="64" t="s">
        <v>253</v>
      </c>
      <c r="I75" s="48"/>
    </row>
    <row r="76" ht="15.75" customHeight="1">
      <c r="B76" s="109">
        <v>9.0</v>
      </c>
      <c r="C76" s="64" t="s">
        <v>246</v>
      </c>
      <c r="D76" s="62" t="s">
        <v>262</v>
      </c>
      <c r="E76" s="121">
        <v>30.0</v>
      </c>
      <c r="F76" s="64" t="s">
        <v>60</v>
      </c>
      <c r="G76" s="49"/>
      <c r="H76" s="64" t="s">
        <v>253</v>
      </c>
      <c r="I76" s="48"/>
    </row>
    <row r="77" ht="15.75" customHeight="1">
      <c r="B77" s="100">
        <v>10.0</v>
      </c>
      <c r="C77" s="64" t="s">
        <v>246</v>
      </c>
      <c r="D77" s="62" t="s">
        <v>263</v>
      </c>
      <c r="E77" s="121">
        <v>118.98</v>
      </c>
      <c r="F77" s="64" t="s">
        <v>58</v>
      </c>
      <c r="G77" s="49"/>
      <c r="H77" s="64" t="s">
        <v>253</v>
      </c>
      <c r="I77" s="48"/>
    </row>
    <row r="78" ht="15.75" customHeight="1">
      <c r="B78" s="109">
        <v>11.0</v>
      </c>
      <c r="C78" s="64" t="s">
        <v>246</v>
      </c>
      <c r="D78" s="62" t="s">
        <v>264</v>
      </c>
      <c r="E78" s="121">
        <v>20.0</v>
      </c>
      <c r="F78" s="64" t="s">
        <v>68</v>
      </c>
      <c r="G78" s="49"/>
      <c r="H78" s="64" t="s">
        <v>253</v>
      </c>
      <c r="I78" s="48"/>
    </row>
    <row r="79" ht="15.75" customHeight="1">
      <c r="B79" s="100">
        <v>12.0</v>
      </c>
      <c r="C79" s="64" t="s">
        <v>246</v>
      </c>
      <c r="D79" s="62" t="s">
        <v>265</v>
      </c>
      <c r="E79" s="121">
        <v>122.0</v>
      </c>
      <c r="F79" s="64" t="s">
        <v>68</v>
      </c>
      <c r="G79" s="49"/>
      <c r="H79" s="64" t="s">
        <v>253</v>
      </c>
      <c r="I79" s="48"/>
    </row>
    <row r="80" ht="15.75" customHeight="1">
      <c r="B80" s="109">
        <v>13.0</v>
      </c>
      <c r="C80" s="64" t="s">
        <v>246</v>
      </c>
      <c r="D80" s="62" t="s">
        <v>266</v>
      </c>
      <c r="E80" s="121">
        <v>150.0</v>
      </c>
      <c r="F80" s="64" t="s">
        <v>267</v>
      </c>
      <c r="G80" s="49"/>
      <c r="H80" s="64" t="s">
        <v>253</v>
      </c>
      <c r="I80" s="48"/>
    </row>
    <row r="81" ht="15.75" customHeight="1">
      <c r="B81" s="100">
        <v>14.0</v>
      </c>
      <c r="C81" s="64" t="s">
        <v>246</v>
      </c>
      <c r="D81" s="62" t="s">
        <v>268</v>
      </c>
      <c r="E81" s="121">
        <v>18.0</v>
      </c>
      <c r="F81" s="64" t="s">
        <v>58</v>
      </c>
      <c r="G81" s="49"/>
      <c r="H81" s="64" t="s">
        <v>253</v>
      </c>
      <c r="I81" s="48"/>
    </row>
    <row r="82" ht="15.75" customHeight="1">
      <c r="B82" s="109">
        <v>15.0</v>
      </c>
      <c r="C82" s="64" t="s">
        <v>269</v>
      </c>
      <c r="D82" s="62" t="s">
        <v>270</v>
      </c>
      <c r="E82" s="121">
        <v>18.0</v>
      </c>
      <c r="F82" s="64" t="s">
        <v>58</v>
      </c>
      <c r="G82" s="49"/>
      <c r="H82" s="64" t="s">
        <v>253</v>
      </c>
      <c r="I82" s="48"/>
    </row>
    <row r="83" ht="15.75" customHeight="1">
      <c r="B83" s="100">
        <v>16.0</v>
      </c>
      <c r="C83" s="64" t="s">
        <v>248</v>
      </c>
      <c r="D83" s="62" t="s">
        <v>271</v>
      </c>
      <c r="E83" s="121">
        <v>20.0</v>
      </c>
      <c r="F83" s="64" t="s">
        <v>58</v>
      </c>
      <c r="G83" s="49"/>
      <c r="H83" s="64" t="s">
        <v>253</v>
      </c>
      <c r="I83" s="48"/>
    </row>
    <row r="84" ht="15.75" customHeight="1">
      <c r="B84" s="109">
        <v>17.0</v>
      </c>
      <c r="C84" s="64" t="s">
        <v>248</v>
      </c>
      <c r="D84" s="62" t="s">
        <v>272</v>
      </c>
      <c r="E84" s="121">
        <v>34.0</v>
      </c>
      <c r="F84" s="64" t="s">
        <v>58</v>
      </c>
      <c r="G84" s="49"/>
      <c r="H84" s="64" t="s">
        <v>253</v>
      </c>
      <c r="I84" s="48"/>
    </row>
    <row r="85" ht="15.75" customHeight="1">
      <c r="B85" s="100">
        <v>18.0</v>
      </c>
      <c r="C85" s="64" t="s">
        <v>248</v>
      </c>
      <c r="D85" s="62" t="s">
        <v>273</v>
      </c>
      <c r="E85" s="121">
        <v>274.0</v>
      </c>
      <c r="F85" s="64" t="s">
        <v>58</v>
      </c>
      <c r="G85" s="49"/>
      <c r="H85" s="64" t="s">
        <v>253</v>
      </c>
      <c r="I85" s="48"/>
    </row>
    <row r="86" ht="15.75" customHeight="1">
      <c r="B86" s="109">
        <v>19.0</v>
      </c>
      <c r="C86" s="64" t="s">
        <v>248</v>
      </c>
      <c r="D86" s="62" t="s">
        <v>274</v>
      </c>
      <c r="E86" s="121">
        <v>150.0</v>
      </c>
      <c r="F86" s="64" t="s">
        <v>267</v>
      </c>
      <c r="G86" s="49"/>
      <c r="H86" s="64" t="s">
        <v>253</v>
      </c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1637.98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2385.22</v>
      </c>
      <c r="E104" s="3"/>
      <c r="F104" s="116" t="str">
        <f>IF(D9&gt;=0,"✅ Mês positivo! Parabéns!","⚠️ Gastou mais do que ganhou — revise seus gastos")</f>
        <v>✅ Mês positivo! Parabéns!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0.07084962875</v>
      </c>
      <c r="I109" s="34" t="str">
        <f t="shared" ref="I109:I122" si="5">IF(H109&gt;0.25,"🔴",IF(H109&gt;0.1,"🟡","🟢"))</f>
        <v>🟢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584.98</v>
      </c>
      <c r="H110" s="32">
        <f>IF(D8=0,0,G110/D8)</f>
        <v>0.2072280791</v>
      </c>
      <c r="I110" s="34" t="str">
        <f t="shared" si="5"/>
        <v>🟡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310</v>
      </c>
      <c r="H111" s="32">
        <f>IF(D8=0,0,G111/D8)</f>
        <v>0.1098169246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101</v>
      </c>
      <c r="H112" s="32">
        <f>IF(D8=0,0,G112/D8)</f>
        <v>0.03577906252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0.1664966276</v>
      </c>
      <c r="I113" s="34" t="str">
        <f t="shared" si="5"/>
        <v>🟡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0.02121946381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142</v>
      </c>
      <c r="H115" s="32">
        <f>IF(D8=0,0,G115/D8)</f>
        <v>0.05030323641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0.056679703</v>
      </c>
      <c r="I116" s="34" t="str">
        <f t="shared" si="5"/>
        <v>🟢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275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Fevereiro!E10</f>
        <v>2385.22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1200.32</v>
      </c>
      <c r="E10" s="97">
        <f>D10</f>
        <v>1200.32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1200.32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276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'Março'!E10</f>
        <v>1200.32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15.42</v>
      </c>
      <c r="E10" s="97">
        <f>D10</f>
        <v>15.42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15.42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277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Abril!E10</f>
        <v>15.42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-1169.48</v>
      </c>
      <c r="E10" s="97">
        <f>D10</f>
        <v>-1169.48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-1169.48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278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Maio!E10</f>
        <v>-1169.48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-2354.38</v>
      </c>
      <c r="E10" s="97">
        <f>D10</f>
        <v>-2354.38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-2354.38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563EB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279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Junho!E10</f>
        <v>-2354.38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-3539.28</v>
      </c>
      <c r="E10" s="97">
        <f>D10</f>
        <v>-3539.28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-3539.28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9669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280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Julho!E10</f>
        <v>-3539.28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-4724.18</v>
      </c>
      <c r="E10" s="97">
        <f>D10</f>
        <v>-4724.18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-4724.18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C3AED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281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Agosto!E10</f>
        <v>-4724.18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-5909.08</v>
      </c>
      <c r="E10" s="97">
        <f>D10</f>
        <v>-5909.08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-5909.08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7706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282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Setembro!E10</f>
        <v>-5909.08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-7093.98</v>
      </c>
      <c r="E10" s="97">
        <f>D10</f>
        <v>-7093.98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-7093.98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2626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283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Outubro!E10</f>
        <v>-7093.98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-8278.88</v>
      </c>
      <c r="E10" s="97">
        <f>D10</f>
        <v>-8278.88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-8278.88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6.0"/>
    <col customWidth="1" min="3" max="3" width="14.0"/>
    <col customWidth="1" min="4" max="4" width="34.0"/>
    <col customWidth="1" min="5" max="5" width="20.0"/>
    <col customWidth="1" min="6" max="6" width="16.0"/>
    <col customWidth="1" min="7" max="8" width="20.0"/>
    <col customWidth="1" min="9" max="9" width="18.0"/>
    <col customWidth="1" min="10" max="10" width="14.0"/>
    <col customWidth="1" min="11" max="26" width="8.71"/>
  </cols>
  <sheetData>
    <row r="1" ht="15.0" customHeight="1">
      <c r="B1" s="1" t="s">
        <v>284</v>
      </c>
      <c r="C1" s="2"/>
      <c r="D1" s="2"/>
      <c r="E1" s="2"/>
      <c r="F1" s="2"/>
      <c r="G1" s="2"/>
      <c r="H1" s="2"/>
      <c r="I1" s="3"/>
    </row>
    <row r="2">
      <c r="B2" s="4"/>
      <c r="C2" s="5"/>
      <c r="D2" s="5"/>
      <c r="E2" s="5"/>
      <c r="F2" s="5"/>
      <c r="G2" s="5"/>
      <c r="H2" s="5"/>
      <c r="I2" s="6"/>
    </row>
    <row r="3" ht="15.75" customHeight="1">
      <c r="B3" s="7" t="s">
        <v>1</v>
      </c>
      <c r="C3" s="8"/>
      <c r="D3" s="8"/>
      <c r="E3" s="9"/>
      <c r="F3" s="12" t="s">
        <v>197</v>
      </c>
      <c r="G3" s="8"/>
      <c r="H3" s="8"/>
      <c r="I3" s="9"/>
    </row>
    <row r="4">
      <c r="B4" s="70" t="s">
        <v>198</v>
      </c>
      <c r="C4" s="71" t="s">
        <v>199</v>
      </c>
      <c r="D4" s="72">
        <f>Novembro!E10</f>
        <v>-8278.88</v>
      </c>
      <c r="E4" s="73">
        <f>D5</f>
        <v>0</v>
      </c>
      <c r="F4" s="74" t="s">
        <v>149</v>
      </c>
      <c r="G4" s="75" t="s">
        <v>200</v>
      </c>
      <c r="H4" s="19">
        <f>D5*'Configuração'!D29</f>
        <v>0</v>
      </c>
    </row>
    <row r="5">
      <c r="B5" s="76" t="s">
        <v>201</v>
      </c>
      <c r="C5" s="22" t="s">
        <v>202</v>
      </c>
      <c r="D5" s="26">
        <f>E29</f>
        <v>0</v>
      </c>
      <c r="E5" s="77">
        <f>D5</f>
        <v>0</v>
      </c>
      <c r="F5" s="78" t="s">
        <v>152</v>
      </c>
      <c r="G5" s="79" t="s">
        <v>203</v>
      </c>
      <c r="H5" s="19">
        <f>D5*'Configuração'!D30</f>
        <v>0</v>
      </c>
    </row>
    <row r="6">
      <c r="B6" s="76" t="s">
        <v>204</v>
      </c>
      <c r="C6" s="22" t="s">
        <v>205</v>
      </c>
      <c r="D6" s="35">
        <f>E63</f>
        <v>1184.9</v>
      </c>
      <c r="E6" s="76"/>
      <c r="F6" s="80" t="s">
        <v>155</v>
      </c>
      <c r="G6" s="81" t="s">
        <v>206</v>
      </c>
      <c r="H6" s="19">
        <f>D5*'Configuração'!D31</f>
        <v>0</v>
      </c>
    </row>
    <row r="7">
      <c r="B7" s="76" t="s">
        <v>207</v>
      </c>
      <c r="C7" s="22" t="s">
        <v>208</v>
      </c>
      <c r="D7" s="82">
        <f>E102</f>
        <v>0</v>
      </c>
      <c r="E7" s="76"/>
      <c r="F7" s="83" t="s">
        <v>158</v>
      </c>
      <c r="G7" s="84" t="s">
        <v>209</v>
      </c>
      <c r="H7" s="19">
        <f>D5*'Configuração'!D32</f>
        <v>0</v>
      </c>
      <c r="J7" s="85">
        <f t="shared" ref="J7:J12" si="1">H4</f>
        <v>0</v>
      </c>
      <c r="M7" s="85">
        <f t="shared" ref="M7:M16" si="2">C109</f>
        <v>0</v>
      </c>
      <c r="N7" s="85">
        <f t="shared" ref="N7:N12" si="3">H4</f>
        <v>0</v>
      </c>
    </row>
    <row r="8">
      <c r="B8" s="86" t="s">
        <v>194</v>
      </c>
      <c r="C8" s="87" t="s">
        <v>210</v>
      </c>
      <c r="D8" s="35">
        <f>D6+D7</f>
        <v>1184.9</v>
      </c>
      <c r="E8" s="88">
        <f>IF(D5=0,0,D8/D5)</f>
        <v>0</v>
      </c>
      <c r="F8" s="66" t="s">
        <v>161</v>
      </c>
      <c r="G8" s="89" t="s">
        <v>211</v>
      </c>
      <c r="H8" s="19">
        <f>D5*'Configuração'!D33</f>
        <v>0</v>
      </c>
      <c r="J8" s="85">
        <f t="shared" si="1"/>
        <v>0</v>
      </c>
      <c r="M8" s="85">
        <f t="shared" si="2"/>
        <v>0</v>
      </c>
      <c r="N8" s="85">
        <f t="shared" si="3"/>
        <v>0</v>
      </c>
    </row>
    <row r="9">
      <c r="B9" s="90" t="s">
        <v>212</v>
      </c>
      <c r="C9" s="91" t="s">
        <v>213</v>
      </c>
      <c r="D9" s="37">
        <f>D5-D8</f>
        <v>-1184.9</v>
      </c>
      <c r="E9" s="92">
        <f>IF(D5=0,0,D9/D5)</f>
        <v>0</v>
      </c>
      <c r="F9" s="93" t="s">
        <v>164</v>
      </c>
      <c r="G9" s="94" t="s">
        <v>214</v>
      </c>
      <c r="H9" s="19">
        <f>D5*'Configuração'!D34</f>
        <v>0</v>
      </c>
      <c r="J9" s="85">
        <f t="shared" si="1"/>
        <v>0</v>
      </c>
      <c r="M9" s="85">
        <f t="shared" si="2"/>
        <v>0</v>
      </c>
      <c r="N9" s="85">
        <f t="shared" si="3"/>
        <v>0</v>
      </c>
    </row>
    <row r="10">
      <c r="B10" s="54" t="s">
        <v>155</v>
      </c>
      <c r="C10" s="95" t="s">
        <v>215</v>
      </c>
      <c r="D10" s="96">
        <f>D4+D9</f>
        <v>-9463.78</v>
      </c>
      <c r="E10" s="97">
        <f>D10</f>
        <v>-9463.78</v>
      </c>
      <c r="J10" s="85">
        <f t="shared" si="1"/>
        <v>0</v>
      </c>
      <c r="M10" s="85">
        <f t="shared" si="2"/>
        <v>0</v>
      </c>
      <c r="N10" s="85">
        <f t="shared" si="3"/>
        <v>0</v>
      </c>
    </row>
    <row r="11">
      <c r="J11" s="85">
        <f t="shared" si="1"/>
        <v>0</v>
      </c>
      <c r="M11" s="85">
        <f t="shared" si="2"/>
        <v>0</v>
      </c>
      <c r="N11" s="85">
        <f t="shared" si="3"/>
        <v>0</v>
      </c>
    </row>
    <row r="12" ht="15.75" customHeight="1">
      <c r="B12" s="7" t="s">
        <v>216</v>
      </c>
      <c r="C12" s="8"/>
      <c r="D12" s="8"/>
      <c r="E12" s="8"/>
      <c r="F12" s="8"/>
      <c r="G12" s="8"/>
      <c r="H12" s="8"/>
      <c r="I12" s="9"/>
      <c r="J12" s="85">
        <f t="shared" si="1"/>
        <v>0</v>
      </c>
      <c r="M12" s="85">
        <f t="shared" si="2"/>
        <v>0</v>
      </c>
      <c r="N12" s="85">
        <f t="shared" si="3"/>
        <v>0</v>
      </c>
    </row>
    <row r="13">
      <c r="B13" s="17" t="s">
        <v>115</v>
      </c>
      <c r="C13" s="17" t="s">
        <v>217</v>
      </c>
      <c r="D13" s="17" t="s">
        <v>218</v>
      </c>
      <c r="E13" s="17" t="s">
        <v>170</v>
      </c>
      <c r="F13" s="17" t="s">
        <v>6</v>
      </c>
      <c r="G13" s="17" t="s">
        <v>219</v>
      </c>
      <c r="H13" s="17" t="s">
        <v>220</v>
      </c>
      <c r="M13" s="85">
        <f t="shared" si="2"/>
        <v>0</v>
      </c>
    </row>
    <row r="14">
      <c r="B14" s="98">
        <v>1.0</v>
      </c>
      <c r="C14" s="49"/>
      <c r="D14" s="48"/>
      <c r="E14" s="99"/>
      <c r="F14" s="49"/>
      <c r="G14" s="49"/>
      <c r="H14" s="48"/>
      <c r="I14" s="70"/>
      <c r="M14" s="85">
        <f t="shared" si="2"/>
        <v>0</v>
      </c>
    </row>
    <row r="15">
      <c r="B15" s="100">
        <v>2.0</v>
      </c>
      <c r="C15" s="49"/>
      <c r="D15" s="48"/>
      <c r="E15" s="99"/>
      <c r="F15" s="49"/>
      <c r="G15" s="49"/>
      <c r="H15" s="48"/>
      <c r="I15" s="76"/>
      <c r="M15" s="85">
        <f t="shared" si="2"/>
        <v>0</v>
      </c>
    </row>
    <row r="16">
      <c r="B16" s="98">
        <v>3.0</v>
      </c>
      <c r="C16" s="49"/>
      <c r="D16" s="48"/>
      <c r="E16" s="99"/>
      <c r="F16" s="49"/>
      <c r="G16" s="49"/>
      <c r="H16" s="48"/>
      <c r="I16" s="70"/>
      <c r="M16" s="85">
        <f t="shared" si="2"/>
        <v>0</v>
      </c>
    </row>
    <row r="17">
      <c r="B17" s="100">
        <v>4.0</v>
      </c>
      <c r="C17" s="49"/>
      <c r="D17" s="48"/>
      <c r="E17" s="99"/>
      <c r="F17" s="49"/>
      <c r="G17" s="49"/>
      <c r="H17" s="48"/>
      <c r="I17" s="76"/>
    </row>
    <row r="18">
      <c r="B18" s="98">
        <v>5.0</v>
      </c>
      <c r="C18" s="49"/>
      <c r="D18" s="48"/>
      <c r="E18" s="99"/>
      <c r="F18" s="49"/>
      <c r="G18" s="49"/>
      <c r="H18" s="48"/>
      <c r="I18" s="70"/>
    </row>
    <row r="19">
      <c r="B19" s="100">
        <v>6.0</v>
      </c>
      <c r="C19" s="49"/>
      <c r="D19" s="48"/>
      <c r="E19" s="99"/>
      <c r="F19" s="49"/>
      <c r="G19" s="49"/>
      <c r="H19" s="48"/>
      <c r="I19" s="76"/>
    </row>
    <row r="20">
      <c r="B20" s="98">
        <v>7.0</v>
      </c>
      <c r="C20" s="49"/>
      <c r="D20" s="48"/>
      <c r="E20" s="99"/>
      <c r="F20" s="49"/>
      <c r="G20" s="49"/>
      <c r="H20" s="48"/>
      <c r="I20" s="70"/>
    </row>
    <row r="21" ht="15.75" customHeight="1">
      <c r="B21" s="100">
        <v>8.0</v>
      </c>
      <c r="C21" s="49"/>
      <c r="D21" s="48"/>
      <c r="E21" s="99"/>
      <c r="F21" s="49"/>
      <c r="G21" s="49"/>
      <c r="H21" s="48"/>
      <c r="I21" s="76"/>
    </row>
    <row r="22" ht="15.75" customHeight="1">
      <c r="B22" s="98">
        <v>9.0</v>
      </c>
      <c r="C22" s="49"/>
      <c r="D22" s="48"/>
      <c r="E22" s="99"/>
      <c r="F22" s="49"/>
      <c r="G22" s="49"/>
      <c r="H22" s="48"/>
      <c r="I22" s="70"/>
      <c r="M22" s="85">
        <f t="shared" ref="M22:M35" si="4">G109</f>
        <v>200</v>
      </c>
    </row>
    <row r="23" ht="15.75" customHeight="1">
      <c r="B23" s="100">
        <v>10.0</v>
      </c>
      <c r="C23" s="49"/>
      <c r="D23" s="48"/>
      <c r="E23" s="99"/>
      <c r="F23" s="49"/>
      <c r="G23" s="49"/>
      <c r="H23" s="48"/>
      <c r="I23" s="76"/>
      <c r="M23" s="85">
        <f t="shared" si="4"/>
        <v>0</v>
      </c>
    </row>
    <row r="24" ht="15.75" customHeight="1">
      <c r="B24" s="98">
        <v>11.0</v>
      </c>
      <c r="C24" s="49"/>
      <c r="D24" s="48"/>
      <c r="E24" s="99"/>
      <c r="F24" s="49"/>
      <c r="G24" s="49"/>
      <c r="H24" s="48"/>
      <c r="I24" s="70"/>
      <c r="M24" s="85">
        <f t="shared" si="4"/>
        <v>200</v>
      </c>
    </row>
    <row r="25" ht="15.75" customHeight="1">
      <c r="B25" s="100">
        <v>12.0</v>
      </c>
      <c r="C25" s="49"/>
      <c r="D25" s="48"/>
      <c r="E25" s="99"/>
      <c r="F25" s="49"/>
      <c r="G25" s="49"/>
      <c r="H25" s="48"/>
      <c r="I25" s="76"/>
      <c r="M25" s="85">
        <f t="shared" si="4"/>
        <v>0</v>
      </c>
    </row>
    <row r="26" ht="15.75" customHeight="1">
      <c r="B26" s="98">
        <v>13.0</v>
      </c>
      <c r="C26" s="49"/>
      <c r="D26" s="48"/>
      <c r="E26" s="99"/>
      <c r="F26" s="49"/>
      <c r="G26" s="49"/>
      <c r="H26" s="48"/>
      <c r="I26" s="70"/>
      <c r="M26" s="85">
        <f t="shared" si="4"/>
        <v>470</v>
      </c>
    </row>
    <row r="27" ht="15.75" customHeight="1">
      <c r="B27" s="100">
        <v>14.0</v>
      </c>
      <c r="C27" s="49"/>
      <c r="D27" s="48"/>
      <c r="E27" s="99"/>
      <c r="F27" s="49"/>
      <c r="G27" s="49"/>
      <c r="H27" s="48"/>
      <c r="I27" s="76"/>
      <c r="M27" s="85">
        <f t="shared" si="4"/>
        <v>59.9</v>
      </c>
    </row>
    <row r="28" ht="15.75" customHeight="1">
      <c r="B28" s="98">
        <v>15.0</v>
      </c>
      <c r="C28" s="49"/>
      <c r="D28" s="48"/>
      <c r="E28" s="99"/>
      <c r="F28" s="49"/>
      <c r="G28" s="49"/>
      <c r="H28" s="48"/>
      <c r="I28" s="70"/>
      <c r="M28" s="85">
        <f t="shared" si="4"/>
        <v>0</v>
      </c>
    </row>
    <row r="29" ht="17.25" customHeight="1">
      <c r="B29" s="78" t="s">
        <v>221</v>
      </c>
      <c r="C29" s="101" t="s">
        <v>222</v>
      </c>
      <c r="D29" s="9"/>
      <c r="E29" s="102">
        <f>SUM(E14:E28)</f>
        <v>0</v>
      </c>
      <c r="F29" s="103"/>
      <c r="G29" s="103"/>
      <c r="H29" s="103"/>
      <c r="I29" s="103"/>
      <c r="M29" s="85">
        <f t="shared" si="4"/>
        <v>160</v>
      </c>
    </row>
    <row r="30" ht="15.75" customHeight="1">
      <c r="M30" s="85">
        <f t="shared" si="4"/>
        <v>0</v>
      </c>
    </row>
    <row r="31" ht="15.75" customHeight="1">
      <c r="B31" s="11" t="s">
        <v>223</v>
      </c>
      <c r="C31" s="8"/>
      <c r="D31" s="8"/>
      <c r="E31" s="8"/>
      <c r="F31" s="8"/>
      <c r="G31" s="8"/>
      <c r="H31" s="8"/>
      <c r="I31" s="9"/>
      <c r="M31" s="85">
        <f t="shared" si="4"/>
        <v>0</v>
      </c>
    </row>
    <row r="32" ht="15.75" customHeight="1">
      <c r="B32" s="17" t="s">
        <v>115</v>
      </c>
      <c r="C32" s="17" t="s">
        <v>224</v>
      </c>
      <c r="D32" s="17" t="s">
        <v>118</v>
      </c>
      <c r="E32" s="17" t="s">
        <v>170</v>
      </c>
      <c r="F32" s="17" t="s">
        <v>50</v>
      </c>
      <c r="G32" s="17" t="s">
        <v>225</v>
      </c>
      <c r="H32" s="17" t="s">
        <v>220</v>
      </c>
      <c r="M32" s="85">
        <f t="shared" si="4"/>
        <v>0</v>
      </c>
    </row>
    <row r="33" ht="15.75" customHeight="1">
      <c r="B33" s="104">
        <v>1.0</v>
      </c>
      <c r="C33" s="76">
        <f>'Configuração'!F39</f>
        <v>5</v>
      </c>
      <c r="D33" s="23" t="str">
        <f>'Configuração'!C39</f>
        <v>Aluguel / Financiamento</v>
      </c>
      <c r="E33" s="47" t="str">
        <f>'Configuração'!D39</f>
        <v/>
      </c>
      <c r="F33" s="76" t="str">
        <f>'Configuração'!E39</f>
        <v>Moradia</v>
      </c>
      <c r="G33" s="49"/>
      <c r="H33" s="48"/>
      <c r="I33" s="86"/>
      <c r="M33" s="85">
        <f t="shared" si="4"/>
        <v>0</v>
      </c>
    </row>
    <row r="34" ht="15.75" customHeight="1">
      <c r="B34" s="100">
        <v>2.0</v>
      </c>
      <c r="C34" s="76">
        <f>'Configuração'!F40</f>
        <v>10</v>
      </c>
      <c r="D34" s="23" t="str">
        <f>'Configuração'!C40</f>
        <v>Condomínio</v>
      </c>
      <c r="E34" s="47" t="str">
        <f>'Configuração'!D40</f>
        <v/>
      </c>
      <c r="F34" s="76" t="str">
        <f>'Configuração'!E40</f>
        <v>Moradia</v>
      </c>
      <c r="G34" s="49"/>
      <c r="H34" s="48"/>
      <c r="I34" s="76"/>
      <c r="M34" s="85">
        <f t="shared" si="4"/>
        <v>0</v>
      </c>
    </row>
    <row r="35" ht="15.75" customHeight="1">
      <c r="B35" s="104">
        <v>3.0</v>
      </c>
      <c r="C35" s="76">
        <f>'Configuração'!F41</f>
        <v>15</v>
      </c>
      <c r="D35" s="23" t="str">
        <f>'Configuração'!C41</f>
        <v>IPTU (parcela)</v>
      </c>
      <c r="E35" s="47" t="str">
        <f>'Configuração'!D41</f>
        <v/>
      </c>
      <c r="F35" s="76" t="str">
        <f>'Configuração'!E41</f>
        <v>Impostos</v>
      </c>
      <c r="G35" s="49"/>
      <c r="H35" s="48"/>
      <c r="I35" s="86"/>
      <c r="M35" s="85">
        <f t="shared" si="4"/>
        <v>0</v>
      </c>
    </row>
    <row r="36" ht="15.75" customHeight="1">
      <c r="B36" s="100">
        <v>4.0</v>
      </c>
      <c r="C36" s="76">
        <f>'Configuração'!F42</f>
        <v>10</v>
      </c>
      <c r="D36" s="23" t="str">
        <f>'Configuração'!C42</f>
        <v>Energia Elétrica</v>
      </c>
      <c r="E36" s="47">
        <f>'Configuração'!D42</f>
        <v>200</v>
      </c>
      <c r="F36" s="76" t="str">
        <f>'Configuração'!E42</f>
        <v>Moradia</v>
      </c>
      <c r="G36" s="49"/>
      <c r="H36" s="48"/>
      <c r="I36" s="76"/>
    </row>
    <row r="37" ht="15.75" customHeight="1">
      <c r="B37" s="104">
        <v>5.0</v>
      </c>
      <c r="C37" s="76">
        <f>'Configuração'!F43</f>
        <v>15</v>
      </c>
      <c r="D37" s="23" t="str">
        <f>'Configuração'!C43</f>
        <v>Água / Saneamento</v>
      </c>
      <c r="E37" s="47" t="str">
        <f>'Configuração'!D43</f>
        <v/>
      </c>
      <c r="F37" s="76" t="str">
        <f>'Configuração'!E43</f>
        <v>Moradia</v>
      </c>
      <c r="G37" s="49"/>
      <c r="H37" s="48"/>
      <c r="I37" s="86"/>
    </row>
    <row r="38" ht="15.75" customHeight="1">
      <c r="B38" s="100">
        <v>6.0</v>
      </c>
      <c r="C38" s="76">
        <f>'Configuração'!F44</f>
        <v>20</v>
      </c>
      <c r="D38" s="23" t="str">
        <f>'Configuração'!C44</f>
        <v>Gás</v>
      </c>
      <c r="E38" s="47" t="str">
        <f>'Configuração'!D44</f>
        <v/>
      </c>
      <c r="F38" s="76" t="str">
        <f>'Configuração'!E44</f>
        <v>Moradia</v>
      </c>
      <c r="G38" s="49"/>
      <c r="H38" s="48"/>
      <c r="I38" s="76"/>
    </row>
    <row r="39" ht="15.75" customHeight="1">
      <c r="B39" s="104">
        <v>7.0</v>
      </c>
      <c r="C39" s="76">
        <f>'Configuração'!F45</f>
        <v>10</v>
      </c>
      <c r="D39" s="23" t="str">
        <f>'Configuração'!C45</f>
        <v>Internet</v>
      </c>
      <c r="E39" s="47">
        <f>'Configuração'!D45</f>
        <v>100</v>
      </c>
      <c r="F39" s="76" t="str">
        <f>'Configuração'!E45</f>
        <v>Tecnologia</v>
      </c>
      <c r="G39" s="49"/>
      <c r="H39" s="48"/>
      <c r="I39" s="86"/>
    </row>
    <row r="40" ht="15.75" customHeight="1">
      <c r="B40" s="100">
        <v>8.0</v>
      </c>
      <c r="C40" s="76">
        <f>'Configuração'!F46</f>
        <v>12</v>
      </c>
      <c r="D40" s="23" t="str">
        <f>'Configuração'!C46</f>
        <v>Celular</v>
      </c>
      <c r="E40" s="47">
        <f>'Configuração'!D46</f>
        <v>60</v>
      </c>
      <c r="F40" s="76" t="str">
        <f>'Configuração'!E46</f>
        <v>Tecnologia</v>
      </c>
      <c r="G40" s="49"/>
      <c r="H40" s="48"/>
      <c r="I40" s="76"/>
    </row>
    <row r="41" ht="15.75" customHeight="1">
      <c r="B41" s="104">
        <v>9.0</v>
      </c>
      <c r="C41" s="76">
        <f>'Configuração'!F47</f>
        <v>5</v>
      </c>
      <c r="D41" s="23" t="str">
        <f>'Configuração'!C47</f>
        <v>Plano de Saúde</v>
      </c>
      <c r="E41" s="47" t="str">
        <f>'Configuração'!D47</f>
        <v/>
      </c>
      <c r="F41" s="76" t="str">
        <f>'Configuração'!E47</f>
        <v>Saúde</v>
      </c>
      <c r="G41" s="49"/>
      <c r="H41" s="48"/>
      <c r="I41" s="86"/>
    </row>
    <row r="42" ht="15.75" customHeight="1">
      <c r="B42" s="100">
        <v>10.0</v>
      </c>
      <c r="C42" s="76">
        <f>'Configuração'!F48</f>
        <v>15</v>
      </c>
      <c r="D42" s="23" t="str">
        <f>'Configuração'!C48</f>
        <v>Seguro (carro/vida)</v>
      </c>
      <c r="E42" s="47" t="str">
        <f>'Configuração'!D48</f>
        <v/>
      </c>
      <c r="F42" s="76" t="str">
        <f>'Configuração'!E48</f>
        <v>Seguros</v>
      </c>
      <c r="G42" s="49"/>
      <c r="H42" s="48"/>
      <c r="I42" s="76"/>
    </row>
    <row r="43" ht="15.75" customHeight="1">
      <c r="B43" s="104">
        <v>11.0</v>
      </c>
      <c r="C43" s="76">
        <f>'Configuração'!F49</f>
        <v>1</v>
      </c>
      <c r="D43" s="23" t="str">
        <f>'Configuração'!C49</f>
        <v>Transporte / Combustível</v>
      </c>
      <c r="E43" s="47">
        <f>'Configuração'!D49</f>
        <v>200</v>
      </c>
      <c r="F43" s="76" t="str">
        <f>'Configuração'!E49</f>
        <v>Transporte</v>
      </c>
      <c r="G43" s="49"/>
      <c r="H43" s="48"/>
      <c r="I43" s="86"/>
    </row>
    <row r="44" ht="15.75" customHeight="1">
      <c r="B44" s="100">
        <v>12.0</v>
      </c>
      <c r="C44" s="76">
        <f>'Configuração'!F50</f>
        <v>1</v>
      </c>
      <c r="D44" s="23" t="str">
        <f>'Configuração'!C50</f>
        <v>Supermercado (base)</v>
      </c>
      <c r="E44" s="47" t="str">
        <f>'Configuração'!D50</f>
        <v/>
      </c>
      <c r="F44" s="76" t="str">
        <f>'Configuração'!E50</f>
        <v>Alimentação</v>
      </c>
      <c r="G44" s="49"/>
      <c r="H44" s="48"/>
      <c r="I44" s="76"/>
    </row>
    <row r="45" ht="15.75" customHeight="1">
      <c r="B45" s="104">
        <v>13.0</v>
      </c>
      <c r="C45" s="76">
        <f>'Configuração'!F51</f>
        <v>1</v>
      </c>
      <c r="D45" s="23" t="str">
        <f>'Configuração'!C51</f>
        <v>Farmácia / Medicamentos</v>
      </c>
      <c r="E45" s="47" t="str">
        <f>'Configuração'!D51</f>
        <v/>
      </c>
      <c r="F45" s="76" t="str">
        <f>'Configuração'!E51</f>
        <v>Saúde</v>
      </c>
      <c r="G45" s="49"/>
      <c r="H45" s="48"/>
      <c r="I45" s="86"/>
    </row>
    <row r="46" ht="15.75" customHeight="1">
      <c r="B46" s="100">
        <v>14.0</v>
      </c>
      <c r="C46" s="76">
        <f>'Configuração'!F52</f>
        <v>5</v>
      </c>
      <c r="D46" s="23" t="str">
        <f>'Configuração'!C52</f>
        <v>Academia</v>
      </c>
      <c r="E46" s="47" t="str">
        <f>'Configuração'!D52</f>
        <v/>
      </c>
      <c r="F46" s="76" t="str">
        <f>'Configuração'!E52</f>
        <v>Saúde</v>
      </c>
      <c r="G46" s="49"/>
      <c r="H46" s="48"/>
      <c r="I46" s="76"/>
    </row>
    <row r="47" ht="15.75" customHeight="1">
      <c r="B47" s="104">
        <v>15.0</v>
      </c>
      <c r="C47" s="76">
        <f>'Configuração'!F53</f>
        <v>1</v>
      </c>
      <c r="D47" s="23" t="str">
        <f>'Configuração'!C53</f>
        <v>Streaming / Entretenimento</v>
      </c>
      <c r="E47" s="47">
        <f>'Configuração'!D53</f>
        <v>59.9</v>
      </c>
      <c r="F47" s="76" t="str">
        <f>'Configuração'!E53</f>
        <v>Lazer / Diversão</v>
      </c>
      <c r="G47" s="49"/>
      <c r="H47" s="48"/>
      <c r="I47" s="86"/>
    </row>
    <row r="48" ht="15.75" customHeight="1">
      <c r="B48" s="100">
        <v>16.0</v>
      </c>
      <c r="C48" s="76">
        <f>'Configuração'!F54</f>
        <v>1</v>
      </c>
      <c r="D48" s="23" t="str">
        <f>'Configuração'!C54</f>
        <v>Assinaturas / SaaS</v>
      </c>
      <c r="E48" s="47" t="str">
        <f>'Configuração'!D54</f>
        <v/>
      </c>
      <c r="F48" s="76" t="str">
        <f>'Configuração'!E54</f>
        <v>Assinaturas</v>
      </c>
      <c r="G48" s="49"/>
      <c r="H48" s="48"/>
      <c r="I48" s="76"/>
    </row>
    <row r="49" ht="15.75" customHeight="1">
      <c r="B49" s="104">
        <v>17.0</v>
      </c>
      <c r="C49" s="76">
        <f>'Configuração'!F55</f>
        <v>1</v>
      </c>
      <c r="D49" s="23" t="str">
        <f>'Configuração'!C55</f>
        <v>Educação / Cursos</v>
      </c>
      <c r="E49" s="47" t="str">
        <f>'Configuração'!D55</f>
        <v/>
      </c>
      <c r="F49" s="76" t="str">
        <f>'Configuração'!E55</f>
        <v>Educação</v>
      </c>
      <c r="G49" s="49"/>
      <c r="H49" s="48"/>
      <c r="I49" s="86"/>
    </row>
    <row r="50" ht="15.75" customHeight="1">
      <c r="B50" s="100">
        <v>18.0</v>
      </c>
      <c r="C50" s="76">
        <f>'Configuração'!F56</f>
        <v>1</v>
      </c>
      <c r="D50" s="23" t="str">
        <f>'Configuração'!C56</f>
        <v>Investimento Automático (CFL)</v>
      </c>
      <c r="E50" s="47">
        <f>'Configuração'!D56</f>
        <v>0</v>
      </c>
      <c r="F50" s="76" t="str">
        <f>'Configuração'!E56</f>
        <v>Investimentos</v>
      </c>
      <c r="G50" s="49"/>
      <c r="H50" s="48"/>
      <c r="I50" s="76"/>
    </row>
    <row r="51" ht="15.75" customHeight="1">
      <c r="B51" s="104">
        <v>19.0</v>
      </c>
      <c r="C51" s="76">
        <f>'Configuração'!F57</f>
        <v>1</v>
      </c>
      <c r="D51" s="23" t="str">
        <f>'Configuração'!C57</f>
        <v>Poupança LP (PELP)</v>
      </c>
      <c r="E51" s="47">
        <f>'Configuração'!D57</f>
        <v>0</v>
      </c>
      <c r="F51" s="76" t="str">
        <f>'Configuração'!E57</f>
        <v>Investimentos</v>
      </c>
      <c r="G51" s="49"/>
      <c r="H51" s="48"/>
      <c r="I51" s="86"/>
    </row>
    <row r="52" ht="15.75" customHeight="1">
      <c r="B52" s="100">
        <v>20.0</v>
      </c>
      <c r="C52" s="76">
        <f>'Configuração'!F58</f>
        <v>1</v>
      </c>
      <c r="D52" s="23" t="str">
        <f>'Configuração'!C58</f>
        <v>Doações Fixas</v>
      </c>
      <c r="E52" s="47">
        <f>'Configuração'!D58</f>
        <v>0</v>
      </c>
      <c r="F52" s="76" t="str">
        <f>'Configuração'!E58</f>
        <v>Doações</v>
      </c>
      <c r="G52" s="49"/>
      <c r="H52" s="48"/>
      <c r="I52" s="76"/>
    </row>
    <row r="53" ht="15.75" customHeight="1">
      <c r="B53" s="104">
        <v>21.0</v>
      </c>
      <c r="C53" s="76">
        <f>'Configuração'!F59</f>
        <v>28</v>
      </c>
      <c r="D53" s="23" t="str">
        <f>'Configuração'!C59</f>
        <v>Escola Aurora</v>
      </c>
      <c r="E53" s="47">
        <f>'Configuração'!D59</f>
        <v>470</v>
      </c>
      <c r="F53" s="76" t="str">
        <f>'Configuração'!E59</f>
        <v>Educação</v>
      </c>
      <c r="G53" s="49"/>
      <c r="H53" s="48"/>
      <c r="I53" s="86"/>
    </row>
    <row r="54" ht="15.75" customHeight="1">
      <c r="B54" s="100">
        <v>22.0</v>
      </c>
      <c r="C54" s="76" t="str">
        <f>'Configuração'!F60</f>
        <v/>
      </c>
      <c r="D54" s="23" t="str">
        <f>'Configuração'!C60</f>
        <v>Serasa</v>
      </c>
      <c r="E54" s="47">
        <f>'Configuração'!D60</f>
        <v>95</v>
      </c>
      <c r="F54" s="76" t="str">
        <f>'Configuração'!E60</f>
        <v>Dívida</v>
      </c>
      <c r="G54" s="49"/>
      <c r="H54" s="48"/>
      <c r="I54" s="76"/>
    </row>
    <row r="55" ht="15.75" customHeight="1">
      <c r="B55" s="104">
        <v>23.0</v>
      </c>
      <c r="C55" s="76" t="str">
        <f>'Configuração'!F61</f>
        <v/>
      </c>
      <c r="D55" s="23" t="str">
        <f>'Configuração'!C61</f>
        <v/>
      </c>
      <c r="E55" s="47" t="str">
        <f>'Configuração'!D61</f>
        <v/>
      </c>
      <c r="F55" s="76" t="str">
        <f>'Configuração'!E61</f>
        <v/>
      </c>
      <c r="G55" s="49"/>
      <c r="H55" s="48"/>
      <c r="I55" s="86"/>
    </row>
    <row r="56" ht="15.75" customHeight="1">
      <c r="B56" s="100">
        <v>24.0</v>
      </c>
      <c r="C56" s="76" t="str">
        <f>'Configuração'!F62</f>
        <v/>
      </c>
      <c r="D56" s="23" t="str">
        <f>'Configuração'!C62</f>
        <v/>
      </c>
      <c r="E56" s="47" t="str">
        <f>'Configuração'!D62</f>
        <v/>
      </c>
      <c r="F56" s="76" t="str">
        <f>'Configuração'!E62</f>
        <v/>
      </c>
      <c r="G56" s="49"/>
      <c r="H56" s="48"/>
      <c r="I56" s="76"/>
    </row>
    <row r="57" ht="15.75" customHeight="1">
      <c r="B57" s="104">
        <v>25.0</v>
      </c>
      <c r="C57" s="76" t="str">
        <f>'Configuração'!F63</f>
        <v/>
      </c>
      <c r="D57" s="23" t="str">
        <f>'Configuração'!C63</f>
        <v/>
      </c>
      <c r="E57" s="47" t="str">
        <f>'Configuração'!D63</f>
        <v/>
      </c>
      <c r="F57" s="76" t="str">
        <f>'Configuração'!E63</f>
        <v/>
      </c>
      <c r="G57" s="49"/>
      <c r="H57" s="48"/>
      <c r="I57" s="86"/>
    </row>
    <row r="58" ht="15.75" customHeight="1">
      <c r="B58" s="100">
        <v>26.0</v>
      </c>
      <c r="C58" s="76" t="str">
        <f>'Configuração'!F64</f>
        <v/>
      </c>
      <c r="D58" s="23" t="str">
        <f>'Configuração'!C64</f>
        <v/>
      </c>
      <c r="E58" s="47" t="str">
        <f>'Configuração'!D64</f>
        <v/>
      </c>
      <c r="F58" s="76" t="str">
        <f>'Configuração'!E64</f>
        <v/>
      </c>
      <c r="G58" s="49"/>
      <c r="H58" s="48"/>
      <c r="I58" s="76"/>
    </row>
    <row r="59" ht="15.75" customHeight="1">
      <c r="B59" s="104">
        <v>27.0</v>
      </c>
      <c r="C59" s="76" t="str">
        <f>'Configuração'!F65</f>
        <v/>
      </c>
      <c r="D59" s="23" t="str">
        <f>'Configuração'!C65</f>
        <v/>
      </c>
      <c r="E59" s="47" t="str">
        <f>'Configuração'!D65</f>
        <v/>
      </c>
      <c r="F59" s="76" t="str">
        <f>'Configuração'!E65</f>
        <v/>
      </c>
      <c r="G59" s="49"/>
      <c r="H59" s="48"/>
      <c r="I59" s="86"/>
    </row>
    <row r="60" ht="15.75" customHeight="1">
      <c r="B60" s="100">
        <v>28.0</v>
      </c>
      <c r="C60" s="76" t="str">
        <f>'Configuração'!F66</f>
        <v/>
      </c>
      <c r="D60" s="23" t="str">
        <f>'Configuração'!C66</f>
        <v/>
      </c>
      <c r="E60" s="47" t="str">
        <f>'Configuração'!D66</f>
        <v/>
      </c>
      <c r="F60" s="76" t="str">
        <f>'Configuração'!E66</f>
        <v/>
      </c>
      <c r="G60" s="49"/>
      <c r="H60" s="48"/>
      <c r="I60" s="76"/>
    </row>
    <row r="61" ht="15.75" customHeight="1">
      <c r="B61" s="104">
        <v>29.0</v>
      </c>
      <c r="C61" s="76" t="str">
        <f>'Configuração'!F67</f>
        <v/>
      </c>
      <c r="D61" s="23" t="str">
        <f>'Configuração'!C67</f>
        <v/>
      </c>
      <c r="E61" s="47" t="str">
        <f>'Configuração'!D67</f>
        <v/>
      </c>
      <c r="F61" s="76" t="str">
        <f>'Configuração'!E67</f>
        <v/>
      </c>
      <c r="G61" s="49"/>
      <c r="H61" s="48"/>
      <c r="I61" s="86"/>
    </row>
    <row r="62" ht="15.75" customHeight="1">
      <c r="B62" s="100">
        <v>30.0</v>
      </c>
      <c r="C62" s="76" t="str">
        <f>'Configuração'!F68</f>
        <v/>
      </c>
      <c r="D62" s="23" t="str">
        <f>'Configuração'!C68</f>
        <v/>
      </c>
      <c r="E62" s="47" t="str">
        <f>'Configuração'!D68</f>
        <v/>
      </c>
      <c r="F62" s="76" t="str">
        <f>'Configuração'!E68</f>
        <v/>
      </c>
      <c r="G62" s="49"/>
      <c r="H62" s="48"/>
      <c r="I62" s="76"/>
    </row>
    <row r="63" ht="17.25" customHeight="1">
      <c r="B63" s="66" t="s">
        <v>204</v>
      </c>
      <c r="C63" s="105" t="s">
        <v>226</v>
      </c>
      <c r="D63" s="9"/>
      <c r="E63" s="106">
        <f>SUM(E33:E62)</f>
        <v>1184.9</v>
      </c>
      <c r="F63" s="36"/>
      <c r="G63" s="36"/>
      <c r="H63" s="36"/>
      <c r="I63" s="36"/>
    </row>
    <row r="64" ht="15.75" customHeight="1"/>
    <row r="65" ht="15.75" customHeight="1">
      <c r="B65" s="107" t="s">
        <v>227</v>
      </c>
      <c r="C65" s="8"/>
      <c r="D65" s="8"/>
      <c r="E65" s="8"/>
      <c r="F65" s="8"/>
      <c r="G65" s="8"/>
      <c r="H65" s="8"/>
      <c r="I65" s="9"/>
    </row>
    <row r="66" ht="15.0" customHeight="1">
      <c r="B66" s="108" t="s">
        <v>228</v>
      </c>
      <c r="C66" s="8"/>
      <c r="D66" s="8"/>
      <c r="E66" s="8"/>
      <c r="F66" s="8"/>
      <c r="G66" s="8"/>
      <c r="H66" s="8"/>
      <c r="I66" s="9"/>
    </row>
    <row r="67" ht="15.75" customHeight="1">
      <c r="B67" s="17" t="s">
        <v>115</v>
      </c>
      <c r="C67" s="17" t="s">
        <v>217</v>
      </c>
      <c r="D67" s="17" t="s">
        <v>229</v>
      </c>
      <c r="E67" s="17" t="s">
        <v>170</v>
      </c>
      <c r="F67" s="17" t="s">
        <v>50</v>
      </c>
      <c r="G67" s="17" t="s">
        <v>83</v>
      </c>
      <c r="H67" s="17" t="s">
        <v>230</v>
      </c>
      <c r="I67" s="17" t="s">
        <v>231</v>
      </c>
    </row>
    <row r="68" ht="15.75" customHeight="1">
      <c r="B68" s="109">
        <v>1.0</v>
      </c>
      <c r="C68" s="49"/>
      <c r="D68" s="48"/>
      <c r="E68" s="110"/>
      <c r="F68" s="49"/>
      <c r="G68" s="49"/>
      <c r="H68" s="49"/>
      <c r="I68" s="48"/>
    </row>
    <row r="69" ht="15.75" customHeight="1">
      <c r="B69" s="100">
        <v>2.0</v>
      </c>
      <c r="C69" s="49"/>
      <c r="D69" s="48"/>
      <c r="E69" s="110"/>
      <c r="F69" s="49"/>
      <c r="G69" s="49"/>
      <c r="H69" s="49"/>
      <c r="I69" s="48"/>
    </row>
    <row r="70" ht="15.75" customHeight="1">
      <c r="B70" s="109">
        <v>3.0</v>
      </c>
      <c r="C70" s="49"/>
      <c r="D70" s="48"/>
      <c r="E70" s="110"/>
      <c r="F70" s="49"/>
      <c r="G70" s="49"/>
      <c r="H70" s="49"/>
      <c r="I70" s="48"/>
    </row>
    <row r="71" ht="15.75" customHeight="1">
      <c r="B71" s="100">
        <v>4.0</v>
      </c>
      <c r="C71" s="49"/>
      <c r="D71" s="48"/>
      <c r="E71" s="110"/>
      <c r="F71" s="49"/>
      <c r="G71" s="49"/>
      <c r="H71" s="49"/>
      <c r="I71" s="48"/>
    </row>
    <row r="72" ht="15.75" customHeight="1">
      <c r="B72" s="109">
        <v>5.0</v>
      </c>
      <c r="C72" s="49"/>
      <c r="D72" s="48"/>
      <c r="E72" s="110"/>
      <c r="F72" s="49"/>
      <c r="G72" s="49"/>
      <c r="H72" s="49"/>
      <c r="I72" s="48"/>
    </row>
    <row r="73" ht="15.75" customHeight="1">
      <c r="B73" s="100">
        <v>6.0</v>
      </c>
      <c r="C73" s="49"/>
      <c r="D73" s="48"/>
      <c r="E73" s="110"/>
      <c r="F73" s="49"/>
      <c r="G73" s="49"/>
      <c r="H73" s="49"/>
      <c r="I73" s="48"/>
    </row>
    <row r="74" ht="15.75" customHeight="1">
      <c r="B74" s="109">
        <v>7.0</v>
      </c>
      <c r="C74" s="49"/>
      <c r="D74" s="48"/>
      <c r="E74" s="110"/>
      <c r="F74" s="49"/>
      <c r="G74" s="49"/>
      <c r="H74" s="49"/>
      <c r="I74" s="48"/>
    </row>
    <row r="75" ht="15.75" customHeight="1">
      <c r="B75" s="100">
        <v>8.0</v>
      </c>
      <c r="C75" s="49"/>
      <c r="D75" s="48"/>
      <c r="E75" s="110"/>
      <c r="F75" s="49"/>
      <c r="G75" s="49"/>
      <c r="H75" s="49"/>
      <c r="I75" s="48"/>
    </row>
    <row r="76" ht="15.75" customHeight="1">
      <c r="B76" s="109">
        <v>9.0</v>
      </c>
      <c r="C76" s="49"/>
      <c r="D76" s="48"/>
      <c r="E76" s="110"/>
      <c r="F76" s="49"/>
      <c r="G76" s="49"/>
      <c r="H76" s="49"/>
      <c r="I76" s="48"/>
    </row>
    <row r="77" ht="15.75" customHeight="1">
      <c r="B77" s="100">
        <v>10.0</v>
      </c>
      <c r="C77" s="49"/>
      <c r="D77" s="48"/>
      <c r="E77" s="110"/>
      <c r="F77" s="49"/>
      <c r="G77" s="49"/>
      <c r="H77" s="49"/>
      <c r="I77" s="48"/>
    </row>
    <row r="78" ht="15.75" customHeight="1">
      <c r="B78" s="109">
        <v>11.0</v>
      </c>
      <c r="C78" s="49"/>
      <c r="D78" s="48"/>
      <c r="E78" s="110"/>
      <c r="F78" s="49"/>
      <c r="G78" s="49"/>
      <c r="H78" s="49"/>
      <c r="I78" s="48"/>
    </row>
    <row r="79" ht="15.75" customHeight="1">
      <c r="B79" s="100">
        <v>12.0</v>
      </c>
      <c r="C79" s="49"/>
      <c r="D79" s="48"/>
      <c r="E79" s="110"/>
      <c r="F79" s="49"/>
      <c r="G79" s="49"/>
      <c r="H79" s="49"/>
      <c r="I79" s="48"/>
    </row>
    <row r="80" ht="15.75" customHeight="1">
      <c r="B80" s="109">
        <v>13.0</v>
      </c>
      <c r="C80" s="49"/>
      <c r="D80" s="48"/>
      <c r="E80" s="110"/>
      <c r="F80" s="49"/>
      <c r="G80" s="49"/>
      <c r="H80" s="49"/>
      <c r="I80" s="48"/>
    </row>
    <row r="81" ht="15.75" customHeight="1">
      <c r="B81" s="100">
        <v>14.0</v>
      </c>
      <c r="C81" s="49"/>
      <c r="D81" s="48"/>
      <c r="E81" s="110"/>
      <c r="F81" s="49"/>
      <c r="G81" s="49"/>
      <c r="H81" s="49"/>
      <c r="I81" s="48"/>
    </row>
    <row r="82" ht="15.75" customHeight="1">
      <c r="B82" s="109">
        <v>15.0</v>
      </c>
      <c r="C82" s="49"/>
      <c r="D82" s="48"/>
      <c r="E82" s="110"/>
      <c r="F82" s="49"/>
      <c r="G82" s="49"/>
      <c r="H82" s="49"/>
      <c r="I82" s="48"/>
    </row>
    <row r="83" ht="15.75" customHeight="1">
      <c r="B83" s="100">
        <v>16.0</v>
      </c>
      <c r="C83" s="49"/>
      <c r="D83" s="48"/>
      <c r="E83" s="110"/>
      <c r="F83" s="49"/>
      <c r="G83" s="49"/>
      <c r="H83" s="49"/>
      <c r="I83" s="48"/>
    </row>
    <row r="84" ht="15.75" customHeight="1">
      <c r="B84" s="109">
        <v>17.0</v>
      </c>
      <c r="C84" s="49"/>
      <c r="D84" s="48"/>
      <c r="E84" s="110"/>
      <c r="F84" s="49"/>
      <c r="G84" s="49"/>
      <c r="H84" s="49"/>
      <c r="I84" s="48"/>
    </row>
    <row r="85" ht="15.75" customHeight="1">
      <c r="B85" s="100">
        <v>18.0</v>
      </c>
      <c r="C85" s="49"/>
      <c r="D85" s="48"/>
      <c r="E85" s="110"/>
      <c r="F85" s="49"/>
      <c r="G85" s="49"/>
      <c r="H85" s="49"/>
      <c r="I85" s="48"/>
    </row>
    <row r="86" ht="15.75" customHeight="1">
      <c r="B86" s="109">
        <v>19.0</v>
      </c>
      <c r="C86" s="49"/>
      <c r="D86" s="48"/>
      <c r="E86" s="110"/>
      <c r="F86" s="49"/>
      <c r="G86" s="49"/>
      <c r="H86" s="49"/>
      <c r="I86" s="48"/>
    </row>
    <row r="87" ht="15.75" customHeight="1">
      <c r="B87" s="100">
        <v>20.0</v>
      </c>
      <c r="C87" s="49"/>
      <c r="D87" s="48"/>
      <c r="E87" s="110"/>
      <c r="F87" s="49"/>
      <c r="G87" s="49"/>
      <c r="H87" s="49"/>
      <c r="I87" s="48"/>
    </row>
    <row r="88" ht="15.75" customHeight="1">
      <c r="B88" s="109">
        <v>21.0</v>
      </c>
      <c r="C88" s="49"/>
      <c r="D88" s="48"/>
      <c r="E88" s="110"/>
      <c r="F88" s="49"/>
      <c r="G88" s="49"/>
      <c r="H88" s="49"/>
      <c r="I88" s="48"/>
    </row>
    <row r="89" ht="15.75" customHeight="1">
      <c r="B89" s="100">
        <v>22.0</v>
      </c>
      <c r="C89" s="49"/>
      <c r="D89" s="48"/>
      <c r="E89" s="110"/>
      <c r="F89" s="49"/>
      <c r="G89" s="49"/>
      <c r="H89" s="49"/>
      <c r="I89" s="48"/>
    </row>
    <row r="90" ht="15.75" customHeight="1">
      <c r="B90" s="109">
        <v>23.0</v>
      </c>
      <c r="C90" s="49"/>
      <c r="D90" s="48"/>
      <c r="E90" s="110"/>
      <c r="F90" s="49"/>
      <c r="G90" s="49"/>
      <c r="H90" s="49"/>
      <c r="I90" s="48"/>
    </row>
    <row r="91" ht="15.75" customHeight="1">
      <c r="B91" s="100">
        <v>24.0</v>
      </c>
      <c r="C91" s="49"/>
      <c r="D91" s="48"/>
      <c r="E91" s="110"/>
      <c r="F91" s="49"/>
      <c r="G91" s="49"/>
      <c r="H91" s="49"/>
      <c r="I91" s="48"/>
    </row>
    <row r="92" ht="15.75" customHeight="1">
      <c r="B92" s="109">
        <v>25.0</v>
      </c>
      <c r="C92" s="49"/>
      <c r="D92" s="48"/>
      <c r="E92" s="110"/>
      <c r="F92" s="49"/>
      <c r="G92" s="49"/>
      <c r="H92" s="49"/>
      <c r="I92" s="48"/>
    </row>
    <row r="93" ht="15.75" customHeight="1">
      <c r="B93" s="100">
        <v>26.0</v>
      </c>
      <c r="C93" s="49"/>
      <c r="D93" s="48"/>
      <c r="E93" s="110"/>
      <c r="F93" s="49"/>
      <c r="G93" s="49"/>
      <c r="H93" s="49"/>
      <c r="I93" s="48"/>
    </row>
    <row r="94" ht="15.75" customHeight="1">
      <c r="B94" s="109">
        <v>27.0</v>
      </c>
      <c r="C94" s="49"/>
      <c r="D94" s="48"/>
      <c r="E94" s="110"/>
      <c r="F94" s="49"/>
      <c r="G94" s="49"/>
      <c r="H94" s="49"/>
      <c r="I94" s="48"/>
    </row>
    <row r="95" ht="15.75" customHeight="1">
      <c r="B95" s="100">
        <v>28.0</v>
      </c>
      <c r="C95" s="49"/>
      <c r="D95" s="48"/>
      <c r="E95" s="110"/>
      <c r="F95" s="49"/>
      <c r="G95" s="49"/>
      <c r="H95" s="49"/>
      <c r="I95" s="48"/>
    </row>
    <row r="96" ht="15.75" customHeight="1">
      <c r="B96" s="109">
        <v>29.0</v>
      </c>
      <c r="C96" s="49"/>
      <c r="D96" s="48"/>
      <c r="E96" s="110"/>
      <c r="F96" s="49"/>
      <c r="G96" s="49"/>
      <c r="H96" s="49"/>
      <c r="I96" s="48"/>
    </row>
    <row r="97" ht="15.75" customHeight="1">
      <c r="B97" s="100">
        <v>30.0</v>
      </c>
      <c r="C97" s="49"/>
      <c r="D97" s="48"/>
      <c r="E97" s="110"/>
      <c r="F97" s="49"/>
      <c r="G97" s="49"/>
      <c r="H97" s="49"/>
      <c r="I97" s="48"/>
    </row>
    <row r="98" ht="15.75" customHeight="1">
      <c r="B98" s="109">
        <v>31.0</v>
      </c>
      <c r="C98" s="49"/>
      <c r="D98" s="48"/>
      <c r="E98" s="110"/>
      <c r="F98" s="49"/>
      <c r="G98" s="49"/>
      <c r="H98" s="49"/>
      <c r="I98" s="48"/>
    </row>
    <row r="99" ht="15.75" customHeight="1">
      <c r="B99" s="100">
        <v>32.0</v>
      </c>
      <c r="C99" s="49"/>
      <c r="D99" s="48"/>
      <c r="E99" s="110"/>
      <c r="F99" s="49"/>
      <c r="G99" s="49"/>
      <c r="H99" s="49"/>
      <c r="I99" s="48"/>
    </row>
    <row r="100" ht="15.75" customHeight="1">
      <c r="B100" s="109">
        <v>33.0</v>
      </c>
      <c r="C100" s="49"/>
      <c r="D100" s="48"/>
      <c r="E100" s="110"/>
      <c r="F100" s="49"/>
      <c r="G100" s="49"/>
      <c r="H100" s="49"/>
      <c r="I100" s="48"/>
    </row>
    <row r="101" ht="15.75" customHeight="1">
      <c r="B101" s="100">
        <v>34.0</v>
      </c>
      <c r="C101" s="49"/>
      <c r="D101" s="48"/>
      <c r="E101" s="110"/>
      <c r="F101" s="49"/>
      <c r="G101" s="49"/>
      <c r="H101" s="49"/>
      <c r="I101" s="48"/>
    </row>
    <row r="102" ht="17.25" customHeight="1">
      <c r="B102" s="83" t="s">
        <v>207</v>
      </c>
      <c r="C102" s="111" t="s">
        <v>232</v>
      </c>
      <c r="D102" s="9"/>
      <c r="E102" s="112">
        <f>SUM(E68:E101)</f>
        <v>0</v>
      </c>
      <c r="F102" s="113"/>
      <c r="G102" s="113"/>
      <c r="H102" s="113"/>
      <c r="I102" s="113"/>
    </row>
    <row r="103" ht="15.75" customHeight="1"/>
    <row r="104" ht="15.0" customHeight="1">
      <c r="B104" s="114" t="s">
        <v>233</v>
      </c>
      <c r="C104" s="3"/>
      <c r="D104" s="115">
        <f>D10</f>
        <v>-9463.78</v>
      </c>
      <c r="E104" s="3"/>
      <c r="F104" s="116" t="str">
        <f>IF(D9&gt;=0,"✅ Mês positivo! Parabéns!","⚠️ Gastou mais do que ganhou — revise seus gastos")</f>
        <v>⚠️ Gastou mais do que ganhou — revise seus gastos</v>
      </c>
      <c r="G104" s="2"/>
      <c r="H104" s="2"/>
      <c r="I104" s="3"/>
    </row>
    <row r="105" ht="15.75" customHeight="1">
      <c r="B105" s="4"/>
      <c r="C105" s="6"/>
      <c r="D105" s="4"/>
      <c r="E105" s="6"/>
      <c r="F105" s="4"/>
      <c r="G105" s="5"/>
      <c r="H105" s="5"/>
      <c r="I105" s="6"/>
    </row>
    <row r="106" ht="15.75" customHeight="1"/>
    <row r="107" ht="15.75" customHeight="1">
      <c r="B107" s="7" t="s">
        <v>234</v>
      </c>
      <c r="C107" s="8"/>
      <c r="D107" s="8"/>
      <c r="E107" s="9"/>
      <c r="F107" s="11" t="s">
        <v>235</v>
      </c>
      <c r="G107" s="8"/>
      <c r="H107" s="8"/>
      <c r="I107" s="9"/>
    </row>
    <row r="108" ht="15.75" customHeight="1">
      <c r="B108" s="17" t="s">
        <v>236</v>
      </c>
      <c r="C108" s="17" t="s">
        <v>117</v>
      </c>
      <c r="D108" s="17" t="s">
        <v>237</v>
      </c>
      <c r="F108" s="17" t="s">
        <v>50</v>
      </c>
      <c r="G108" s="17" t="s">
        <v>117</v>
      </c>
      <c r="H108" s="17" t="s">
        <v>238</v>
      </c>
      <c r="I108" s="17" t="s">
        <v>54</v>
      </c>
    </row>
    <row r="109" ht="15.75" customHeight="1">
      <c r="B109" s="117" t="s">
        <v>21</v>
      </c>
      <c r="C109" s="19">
        <f>SUMIF(F14:F28,"Salário CLT",E14:E28)</f>
        <v>0</v>
      </c>
      <c r="D109" s="32">
        <f>IF(E29=0,0,C109/E29)</f>
        <v>0</v>
      </c>
      <c r="F109" s="117" t="s">
        <v>56</v>
      </c>
      <c r="G109" s="19">
        <f>SUMIF(F33:F62,"Moradia",E33:E62)+SUMIF(F68:F101,"Moradia",E68:E101)</f>
        <v>200</v>
      </c>
      <c r="H109" s="32">
        <f>IF(D8=0,0,G109/D8)</f>
        <v>0.1687906152</v>
      </c>
      <c r="I109" s="34" t="str">
        <f t="shared" ref="I109:I122" si="5">IF(H109&gt;0.25,"🔴",IF(H109&gt;0.1,"🟡","🟢"))</f>
        <v>🟡</v>
      </c>
    </row>
    <row r="110" ht="15.75" customHeight="1">
      <c r="B110" s="118" t="s">
        <v>23</v>
      </c>
      <c r="C110" s="19">
        <f>SUMIF(F14:F28,"Freelance / Projetos",E14:E28)</f>
        <v>0</v>
      </c>
      <c r="D110" s="32">
        <f>IF(E29=0,0,C110/E29)</f>
        <v>0</v>
      </c>
      <c r="F110" s="118" t="s">
        <v>58</v>
      </c>
      <c r="G110" s="19">
        <f>SUMIF(F33:F62,"Alimentação",E33:E62)+SUMIF(F68:F101,"Alimentação",E68:E101)</f>
        <v>0</v>
      </c>
      <c r="H110" s="32">
        <f>IF(D8=0,0,G110/D8)</f>
        <v>0</v>
      </c>
      <c r="I110" s="34" t="str">
        <f t="shared" si="5"/>
        <v>🟢</v>
      </c>
    </row>
    <row r="111" ht="15.75" customHeight="1">
      <c r="B111" s="117" t="s">
        <v>25</v>
      </c>
      <c r="C111" s="19">
        <f>SUMIF(F14:F28,"Vendas Online",E14:E28)</f>
        <v>0</v>
      </c>
      <c r="D111" s="32">
        <f>IF(E29=0,0,C111/E29)</f>
        <v>0</v>
      </c>
      <c r="F111" s="117" t="s">
        <v>60</v>
      </c>
      <c r="G111" s="19">
        <f>SUMIF(F33:F62,"Transporte",E33:E62)+SUMIF(F68:F101,"Transporte",E68:E101)</f>
        <v>200</v>
      </c>
      <c r="H111" s="32">
        <f>IF(D8=0,0,G111/D8)</f>
        <v>0.1687906152</v>
      </c>
      <c r="I111" s="34" t="str">
        <f t="shared" si="5"/>
        <v>🟡</v>
      </c>
    </row>
    <row r="112" ht="15.75" customHeight="1">
      <c r="B112" s="118" t="s">
        <v>27</v>
      </c>
      <c r="C112" s="19">
        <f>SUMIF(F14:F28,"Consultoria",E14:E28)</f>
        <v>0</v>
      </c>
      <c r="D112" s="32">
        <f>IF(E29=0,0,C112/E29)</f>
        <v>0</v>
      </c>
      <c r="F112" s="118" t="s">
        <v>62</v>
      </c>
      <c r="G112" s="19">
        <f>SUMIF(F33:F62,"Saúde",E33:E62)+SUMIF(F68:F101,"Saúde",E68:E101)</f>
        <v>0</v>
      </c>
      <c r="H112" s="32">
        <f>IF(D8=0,0,G112/D8)</f>
        <v>0</v>
      </c>
      <c r="I112" s="34" t="str">
        <f t="shared" si="5"/>
        <v>🟢</v>
      </c>
    </row>
    <row r="113" ht="15.75" customHeight="1">
      <c r="B113" s="117" t="s">
        <v>29</v>
      </c>
      <c r="C113" s="19">
        <f>SUMIF(F14:F28,"Rendimentos / Investimentos",E14:E28)</f>
        <v>0</v>
      </c>
      <c r="D113" s="32">
        <f>IF(E29=0,0,C113/E29)</f>
        <v>0</v>
      </c>
      <c r="F113" s="117" t="s">
        <v>64</v>
      </c>
      <c r="G113" s="19">
        <f>SUMIF(F33:F62,"Educação",E33:E62)+SUMIF(F68:F101,"Educação",E68:E101)</f>
        <v>470</v>
      </c>
      <c r="H113" s="32">
        <f>IF(D8=0,0,G113/D8)</f>
        <v>0.3966579458</v>
      </c>
      <c r="I113" s="34" t="str">
        <f t="shared" si="5"/>
        <v>🔴</v>
      </c>
    </row>
    <row r="114" ht="15.75" customHeight="1">
      <c r="B114" s="118" t="s">
        <v>31</v>
      </c>
      <c r="C114" s="19">
        <f>SUMIF(F14:F28,"Aluguel Recebido",E14:E28)</f>
        <v>0</v>
      </c>
      <c r="D114" s="32">
        <f>IF(E29=0,0,C114/E29)</f>
        <v>0</v>
      </c>
      <c r="F114" s="118" t="s">
        <v>66</v>
      </c>
      <c r="G114" s="19">
        <f>SUMIF(F33:F62,"Lazer / Diversão",E33:E62)+SUMIF(F68:F101,"Lazer / Diversão",E68:E101)</f>
        <v>59.9</v>
      </c>
      <c r="H114" s="32">
        <f>IF(D8=0,0,G114/D8)</f>
        <v>0.05055278926</v>
      </c>
      <c r="I114" s="34" t="str">
        <f t="shared" si="5"/>
        <v>🟢</v>
      </c>
    </row>
    <row r="115" ht="15.75" customHeight="1">
      <c r="B115" s="117" t="s">
        <v>33</v>
      </c>
      <c r="C115" s="19">
        <f>SUMIF(F14:F28,"Comissões",E14:E28)</f>
        <v>0</v>
      </c>
      <c r="D115" s="32">
        <f>IF(E29=0,0,C115/E29)</f>
        <v>0</v>
      </c>
      <c r="F115" s="117" t="s">
        <v>68</v>
      </c>
      <c r="G115" s="19">
        <f>SUMIF(F33:F62,"Vestuário",E33:E62)+SUMIF(F68:F101,"Vestuário",E68:E101)</f>
        <v>0</v>
      </c>
      <c r="H115" s="32">
        <f>IF(D8=0,0,G115/D8)</f>
        <v>0</v>
      </c>
      <c r="I115" s="34" t="str">
        <f t="shared" si="5"/>
        <v>🟢</v>
      </c>
    </row>
    <row r="116" ht="15.75" customHeight="1">
      <c r="B116" s="118" t="s">
        <v>35</v>
      </c>
      <c r="C116" s="19">
        <f>SUMIF(F14:F28,"Bônus / Participação",E14:E28)</f>
        <v>0</v>
      </c>
      <c r="D116" s="32">
        <f>IF(E29=0,0,C116/E29)</f>
        <v>0</v>
      </c>
      <c r="F116" s="118" t="s">
        <v>70</v>
      </c>
      <c r="G116" s="19">
        <f>SUMIF(F33:F62,"Tecnologia",E33:E62)+SUMIF(F68:F101,"Tecnologia",E68:E101)</f>
        <v>160</v>
      </c>
      <c r="H116" s="32">
        <f>IF(D8=0,0,G116/D8)</f>
        <v>0.1350324922</v>
      </c>
      <c r="I116" s="34" t="str">
        <f t="shared" si="5"/>
        <v>🟡</v>
      </c>
    </row>
    <row r="117" ht="15.75" customHeight="1">
      <c r="B117" s="117" t="s">
        <v>37</v>
      </c>
      <c r="C117" s="19">
        <f>SUMIF(F14:F28,"Renda Extra / Bico",E14:E28)</f>
        <v>0</v>
      </c>
      <c r="D117" s="32">
        <f>IF(E29=0,0,C117/E29)</f>
        <v>0</v>
      </c>
      <c r="F117" s="117" t="s">
        <v>72</v>
      </c>
      <c r="G117" s="19">
        <f>SUMIF(F33:F62,"Assinaturas",E33:E62)+SUMIF(F68:F101,"Assinaturas",E68:E101)</f>
        <v>0</v>
      </c>
      <c r="H117" s="32">
        <f>IF(D8=0,0,G117/D8)</f>
        <v>0</v>
      </c>
      <c r="I117" s="34" t="str">
        <f t="shared" si="5"/>
        <v>🟢</v>
      </c>
    </row>
    <row r="118" ht="15.75" customHeight="1">
      <c r="B118" s="118" t="s">
        <v>39</v>
      </c>
      <c r="C118" s="19">
        <f>SUMIF(F14:F28,"Outros",E14:E28)</f>
        <v>0</v>
      </c>
      <c r="D118" s="32">
        <f>IF(E29=0,0,C118/E29)</f>
        <v>0</v>
      </c>
      <c r="F118" s="118" t="s">
        <v>74</v>
      </c>
      <c r="G118" s="19">
        <f>SUMIF(F33:F62,"Seguros",E33:E62)+SUMIF(F68:F101,"Seguros",E68:E101)</f>
        <v>0</v>
      </c>
      <c r="H118" s="32">
        <f>IF(D8=0,0,G118/D8)</f>
        <v>0</v>
      </c>
      <c r="I118" s="34" t="str">
        <f t="shared" si="5"/>
        <v>🟢</v>
      </c>
    </row>
    <row r="119" ht="15.75" customHeight="1">
      <c r="F119" s="117" t="s">
        <v>76</v>
      </c>
      <c r="G119" s="19">
        <f>SUMIF(F33:F62,"Impostos",E33:E62)+SUMIF(F68:F101,"Impostos",E68:E101)</f>
        <v>0</v>
      </c>
      <c r="H119" s="32">
        <f>IF(D8=0,0,G119/D8)</f>
        <v>0</v>
      </c>
      <c r="I119" s="34" t="str">
        <f t="shared" si="5"/>
        <v>🟢</v>
      </c>
    </row>
    <row r="120" ht="15.75" customHeight="1">
      <c r="F120" s="118" t="s">
        <v>78</v>
      </c>
      <c r="G120" s="19">
        <f>SUMIF(F33:F62,"Investimentos",E33:E62)+SUMIF(F68:F101,"Investimentos",E68:E101)</f>
        <v>0</v>
      </c>
      <c r="H120" s="32">
        <f>IF(D8=0,0,G120/D8)</f>
        <v>0</v>
      </c>
      <c r="I120" s="34" t="str">
        <f t="shared" si="5"/>
        <v>🟢</v>
      </c>
    </row>
    <row r="121" ht="15.75" customHeight="1">
      <c r="F121" s="117" t="s">
        <v>80</v>
      </c>
      <c r="G121" s="19">
        <f>SUMIF(F33:F62,"Doações",E33:E62)+SUMIF(F68:F101,"Doações",E68:E101)</f>
        <v>0</v>
      </c>
      <c r="H121" s="32">
        <f>IF(D8=0,0,G121/D8)</f>
        <v>0</v>
      </c>
      <c r="I121" s="34" t="str">
        <f t="shared" si="5"/>
        <v>🟢</v>
      </c>
    </row>
    <row r="122" ht="15.75" customHeight="1">
      <c r="F122" s="118" t="s">
        <v>39</v>
      </c>
      <c r="G122" s="19">
        <f>SUMIF(F33:F62,"Outros",E33:E62)+SUMIF(F68:F101,"Outros",E68:E101)</f>
        <v>0</v>
      </c>
      <c r="H122" s="32">
        <f>IF(D8=0,0,G122/D8)</f>
        <v>0</v>
      </c>
      <c r="I122" s="34" t="str">
        <f t="shared" si="5"/>
        <v>🟢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65:I65"/>
    <mergeCell ref="B66:I66"/>
    <mergeCell ref="C102:D102"/>
    <mergeCell ref="B104:C105"/>
    <mergeCell ref="D104:E105"/>
    <mergeCell ref="F104:I105"/>
    <mergeCell ref="B107:E107"/>
    <mergeCell ref="F107:I107"/>
    <mergeCell ref="B1:I2"/>
    <mergeCell ref="B3:E3"/>
    <mergeCell ref="F3:I3"/>
    <mergeCell ref="B12:I12"/>
    <mergeCell ref="C29:D29"/>
    <mergeCell ref="B31:I31"/>
    <mergeCell ref="C63:D63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46E5"/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15" width="16.0"/>
    <col customWidth="1" min="16" max="26" width="8.71"/>
  </cols>
  <sheetData>
    <row r="1" ht="15.0" customHeight="1">
      <c r="B1" s="1" t="s">
        <v>285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4" ht="15.75" customHeight="1">
      <c r="B4" s="7" t="s">
        <v>286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9"/>
    </row>
    <row r="5">
      <c r="B5" s="17" t="s">
        <v>236</v>
      </c>
      <c r="C5" s="17" t="s">
        <v>7</v>
      </c>
      <c r="D5" s="17" t="s">
        <v>8</v>
      </c>
      <c r="E5" s="17" t="s">
        <v>9</v>
      </c>
      <c r="F5" s="17" t="s">
        <v>10</v>
      </c>
      <c r="G5" s="17" t="s">
        <v>11</v>
      </c>
      <c r="H5" s="17" t="s">
        <v>12</v>
      </c>
      <c r="I5" s="17" t="s">
        <v>13</v>
      </c>
      <c r="J5" s="17" t="s">
        <v>14</v>
      </c>
      <c r="K5" s="17" t="s">
        <v>15</v>
      </c>
      <c r="L5" s="17" t="s">
        <v>16</v>
      </c>
      <c r="M5" s="17" t="s">
        <v>17</v>
      </c>
      <c r="N5" s="17" t="s">
        <v>18</v>
      </c>
      <c r="O5" s="17" t="s">
        <v>19</v>
      </c>
    </row>
    <row r="6">
      <c r="B6" s="18" t="s">
        <v>21</v>
      </c>
      <c r="C6" s="19">
        <f>Janeiro!M7</f>
        <v>0</v>
      </c>
      <c r="D6" s="19">
        <f>Fevereiro!M7</f>
        <v>0</v>
      </c>
      <c r="E6" s="19">
        <f>'Março'!M7</f>
        <v>0</v>
      </c>
      <c r="F6" s="19">
        <f>Abril!M7</f>
        <v>0</v>
      </c>
      <c r="G6" s="19">
        <f>Maio!M7</f>
        <v>0</v>
      </c>
      <c r="H6" s="19">
        <f>Junho!M7</f>
        <v>0</v>
      </c>
      <c r="I6" s="19">
        <f>Julho!M7</f>
        <v>0</v>
      </c>
      <c r="J6" s="19">
        <f>Agosto!M7</f>
        <v>0</v>
      </c>
      <c r="K6" s="19">
        <f>Setembro!M7</f>
        <v>0</v>
      </c>
      <c r="L6" s="19">
        <f>Outubro!M7</f>
        <v>0</v>
      </c>
      <c r="M6" s="19">
        <f>Novembro!M7</f>
        <v>0</v>
      </c>
      <c r="N6" s="19">
        <f>Dezembro!M7</f>
        <v>0</v>
      </c>
      <c r="O6" s="20">
        <f t="shared" ref="O6:O15" si="1">SUM(C6:N6)</f>
        <v>0</v>
      </c>
    </row>
    <row r="7">
      <c r="B7" s="22" t="s">
        <v>23</v>
      </c>
      <c r="C7" s="19">
        <f>Janeiro!M8</f>
        <v>0</v>
      </c>
      <c r="D7" s="19">
        <f>Fevereiro!M8</f>
        <v>0</v>
      </c>
      <c r="E7" s="19">
        <f>'Março'!M8</f>
        <v>0</v>
      </c>
      <c r="F7" s="19">
        <f>Abril!M8</f>
        <v>0</v>
      </c>
      <c r="G7" s="19">
        <f>Maio!M8</f>
        <v>0</v>
      </c>
      <c r="H7" s="19">
        <f>Junho!M8</f>
        <v>0</v>
      </c>
      <c r="I7" s="19">
        <f>Julho!M8</f>
        <v>0</v>
      </c>
      <c r="J7" s="19">
        <f>Agosto!M8</f>
        <v>0</v>
      </c>
      <c r="K7" s="19">
        <f>Setembro!M8</f>
        <v>0</v>
      </c>
      <c r="L7" s="19">
        <f>Outubro!M8</f>
        <v>0</v>
      </c>
      <c r="M7" s="19">
        <f>Novembro!M8</f>
        <v>0</v>
      </c>
      <c r="N7" s="19">
        <f>Dezembro!M8</f>
        <v>0</v>
      </c>
      <c r="O7" s="20">
        <f t="shared" si="1"/>
        <v>0</v>
      </c>
    </row>
    <row r="8">
      <c r="B8" s="18" t="s">
        <v>25</v>
      </c>
      <c r="C8" s="19">
        <f>Janeiro!M9</f>
        <v>0</v>
      </c>
      <c r="D8" s="19">
        <f>Fevereiro!M9</f>
        <v>0</v>
      </c>
      <c r="E8" s="19">
        <f>'Março'!M9</f>
        <v>0</v>
      </c>
      <c r="F8" s="19">
        <f>Abril!M9</f>
        <v>0</v>
      </c>
      <c r="G8" s="19">
        <f>Maio!M9</f>
        <v>0</v>
      </c>
      <c r="H8" s="19">
        <f>Junho!M9</f>
        <v>0</v>
      </c>
      <c r="I8" s="19">
        <f>Julho!M9</f>
        <v>0</v>
      </c>
      <c r="J8" s="19">
        <f>Agosto!M9</f>
        <v>0</v>
      </c>
      <c r="K8" s="19">
        <f>Setembro!M9</f>
        <v>0</v>
      </c>
      <c r="L8" s="19">
        <f>Outubro!M9</f>
        <v>0</v>
      </c>
      <c r="M8" s="19">
        <f>Novembro!M9</f>
        <v>0</v>
      </c>
      <c r="N8" s="19">
        <f>Dezembro!M9</f>
        <v>0</v>
      </c>
      <c r="O8" s="20">
        <f t="shared" si="1"/>
        <v>0</v>
      </c>
    </row>
    <row r="9">
      <c r="B9" s="23" t="s">
        <v>27</v>
      </c>
      <c r="C9" s="19">
        <f>Janeiro!M10</f>
        <v>0</v>
      </c>
      <c r="D9" s="19">
        <f>Fevereiro!M10</f>
        <v>0</v>
      </c>
      <c r="E9" s="19">
        <f>'Março'!M10</f>
        <v>0</v>
      </c>
      <c r="F9" s="19">
        <f>Abril!M10</f>
        <v>0</v>
      </c>
      <c r="G9" s="19">
        <f>Maio!M10</f>
        <v>0</v>
      </c>
      <c r="H9" s="19">
        <f>Junho!M10</f>
        <v>0</v>
      </c>
      <c r="I9" s="19">
        <f>Julho!M10</f>
        <v>0</v>
      </c>
      <c r="J9" s="19">
        <f>Agosto!M10</f>
        <v>0</v>
      </c>
      <c r="K9" s="19">
        <f>Setembro!M10</f>
        <v>0</v>
      </c>
      <c r="L9" s="19">
        <f>Outubro!M10</f>
        <v>0</v>
      </c>
      <c r="M9" s="19">
        <f>Novembro!M10</f>
        <v>0</v>
      </c>
      <c r="N9" s="19">
        <f>Dezembro!M10</f>
        <v>0</v>
      </c>
      <c r="O9" s="20">
        <f t="shared" si="1"/>
        <v>0</v>
      </c>
    </row>
    <row r="10">
      <c r="B10" s="24" t="s">
        <v>29</v>
      </c>
      <c r="C10" s="19">
        <f>Janeiro!M11</f>
        <v>0</v>
      </c>
      <c r="D10" s="19">
        <f>Fevereiro!M11</f>
        <v>0</v>
      </c>
      <c r="E10" s="19">
        <f>'Março'!M11</f>
        <v>0</v>
      </c>
      <c r="F10" s="19">
        <f>Abril!M11</f>
        <v>0</v>
      </c>
      <c r="G10" s="19">
        <f>Maio!M11</f>
        <v>0</v>
      </c>
      <c r="H10" s="19">
        <f>Junho!M11</f>
        <v>0</v>
      </c>
      <c r="I10" s="19">
        <f>Julho!M11</f>
        <v>0</v>
      </c>
      <c r="J10" s="19">
        <f>Agosto!M11</f>
        <v>0</v>
      </c>
      <c r="K10" s="19">
        <f>Setembro!M11</f>
        <v>0</v>
      </c>
      <c r="L10" s="19">
        <f>Outubro!M11</f>
        <v>0</v>
      </c>
      <c r="M10" s="19">
        <f>Novembro!M11</f>
        <v>0</v>
      </c>
      <c r="N10" s="19">
        <f>Dezembro!M11</f>
        <v>0</v>
      </c>
      <c r="O10" s="20">
        <f t="shared" si="1"/>
        <v>0</v>
      </c>
    </row>
    <row r="11">
      <c r="B11" s="23" t="s">
        <v>31</v>
      </c>
      <c r="C11" s="19">
        <f>Janeiro!M12</f>
        <v>0</v>
      </c>
      <c r="D11" s="19">
        <f>Fevereiro!M12</f>
        <v>0</v>
      </c>
      <c r="E11" s="19">
        <f>'Março'!M12</f>
        <v>0</v>
      </c>
      <c r="F11" s="19">
        <f>Abril!M12</f>
        <v>0</v>
      </c>
      <c r="G11" s="19">
        <f>Maio!M12</f>
        <v>0</v>
      </c>
      <c r="H11" s="19">
        <f>Junho!M12</f>
        <v>0</v>
      </c>
      <c r="I11" s="19">
        <f>Julho!M12</f>
        <v>0</v>
      </c>
      <c r="J11" s="19">
        <f>Agosto!M12</f>
        <v>0</v>
      </c>
      <c r="K11" s="19">
        <f>Setembro!M12</f>
        <v>0</v>
      </c>
      <c r="L11" s="19">
        <f>Outubro!M12</f>
        <v>0</v>
      </c>
      <c r="M11" s="19">
        <f>Novembro!M12</f>
        <v>0</v>
      </c>
      <c r="N11" s="19">
        <f>Dezembro!M12</f>
        <v>0</v>
      </c>
      <c r="O11" s="20">
        <f t="shared" si="1"/>
        <v>0</v>
      </c>
    </row>
    <row r="12">
      <c r="B12" s="24" t="s">
        <v>33</v>
      </c>
      <c r="C12" s="19">
        <f>Janeiro!M13</f>
        <v>0</v>
      </c>
      <c r="D12" s="19">
        <f>Fevereiro!M13</f>
        <v>0</v>
      </c>
      <c r="E12" s="19">
        <f>'Março'!M13</f>
        <v>0</v>
      </c>
      <c r="F12" s="19">
        <f>Abril!M13</f>
        <v>0</v>
      </c>
      <c r="G12" s="19">
        <f>Maio!M13</f>
        <v>0</v>
      </c>
      <c r="H12" s="19">
        <f>Junho!M13</f>
        <v>0</v>
      </c>
      <c r="I12" s="19">
        <f>Julho!M13</f>
        <v>0</v>
      </c>
      <c r="J12" s="19">
        <f>Agosto!M13</f>
        <v>0</v>
      </c>
      <c r="K12" s="19">
        <f>Setembro!M13</f>
        <v>0</v>
      </c>
      <c r="L12" s="19">
        <f>Outubro!M13</f>
        <v>0</v>
      </c>
      <c r="M12" s="19">
        <f>Novembro!M13</f>
        <v>0</v>
      </c>
      <c r="N12" s="19">
        <f>Dezembro!M13</f>
        <v>0</v>
      </c>
      <c r="O12" s="20">
        <f t="shared" si="1"/>
        <v>0</v>
      </c>
    </row>
    <row r="13">
      <c r="B13" s="23" t="s">
        <v>35</v>
      </c>
      <c r="C13" s="19">
        <f>Janeiro!M14</f>
        <v>0</v>
      </c>
      <c r="D13" s="19">
        <f>Fevereiro!M14</f>
        <v>0</v>
      </c>
      <c r="E13" s="19">
        <f>'Março'!M14</f>
        <v>0</v>
      </c>
      <c r="F13" s="19">
        <f>Abril!M14</f>
        <v>0</v>
      </c>
      <c r="G13" s="19">
        <f>Maio!M14</f>
        <v>0</v>
      </c>
      <c r="H13" s="19">
        <f>Junho!M14</f>
        <v>0</v>
      </c>
      <c r="I13" s="19">
        <f>Julho!M14</f>
        <v>0</v>
      </c>
      <c r="J13" s="19">
        <f>Agosto!M14</f>
        <v>0</v>
      </c>
      <c r="K13" s="19">
        <f>Setembro!M14</f>
        <v>0</v>
      </c>
      <c r="L13" s="19">
        <f>Outubro!M14</f>
        <v>0</v>
      </c>
      <c r="M13" s="19">
        <f>Novembro!M14</f>
        <v>0</v>
      </c>
      <c r="N13" s="19">
        <f>Dezembro!M14</f>
        <v>0</v>
      </c>
      <c r="O13" s="20">
        <f t="shared" si="1"/>
        <v>0</v>
      </c>
    </row>
    <row r="14">
      <c r="B14" s="24" t="s">
        <v>37</v>
      </c>
      <c r="C14" s="19">
        <f>Janeiro!M15</f>
        <v>0</v>
      </c>
      <c r="D14" s="19">
        <f>Fevereiro!M15</f>
        <v>0</v>
      </c>
      <c r="E14" s="19">
        <f>'Março'!M15</f>
        <v>0</v>
      </c>
      <c r="F14" s="19">
        <f>Abril!M15</f>
        <v>0</v>
      </c>
      <c r="G14" s="19">
        <f>Maio!M15</f>
        <v>0</v>
      </c>
      <c r="H14" s="19">
        <f>Junho!M15</f>
        <v>0</v>
      </c>
      <c r="I14" s="19">
        <f>Julho!M15</f>
        <v>0</v>
      </c>
      <c r="J14" s="19">
        <f>Agosto!M15</f>
        <v>0</v>
      </c>
      <c r="K14" s="19">
        <f>Setembro!M15</f>
        <v>0</v>
      </c>
      <c r="L14" s="19">
        <f>Outubro!M15</f>
        <v>0</v>
      </c>
      <c r="M14" s="19">
        <f>Novembro!M15</f>
        <v>0</v>
      </c>
      <c r="N14" s="19">
        <f>Dezembro!M15</f>
        <v>0</v>
      </c>
      <c r="O14" s="20">
        <f t="shared" si="1"/>
        <v>0</v>
      </c>
    </row>
    <row r="15">
      <c r="B15" s="23" t="s">
        <v>39</v>
      </c>
      <c r="C15" s="19">
        <f>Janeiro!M16</f>
        <v>0</v>
      </c>
      <c r="D15" s="19">
        <f>Fevereiro!M16</f>
        <v>0</v>
      </c>
      <c r="E15" s="19">
        <f>'Março'!M16</f>
        <v>0</v>
      </c>
      <c r="F15" s="19">
        <f>Abril!M16</f>
        <v>0</v>
      </c>
      <c r="G15" s="19">
        <f>Maio!M16</f>
        <v>0</v>
      </c>
      <c r="H15" s="19">
        <f>Junho!M16</f>
        <v>0</v>
      </c>
      <c r="I15" s="19">
        <f>Julho!M16</f>
        <v>0</v>
      </c>
      <c r="J15" s="19">
        <f>Agosto!M16</f>
        <v>0</v>
      </c>
      <c r="K15" s="19">
        <f>Setembro!M16</f>
        <v>0</v>
      </c>
      <c r="L15" s="19">
        <f>Outubro!M16</f>
        <v>0</v>
      </c>
      <c r="M15" s="19">
        <f>Novembro!M16</f>
        <v>0</v>
      </c>
      <c r="N15" s="19">
        <f>Dezembro!M16</f>
        <v>0</v>
      </c>
      <c r="O15" s="20">
        <f t="shared" si="1"/>
        <v>0</v>
      </c>
    </row>
    <row r="16">
      <c r="B16" s="122" t="s">
        <v>19</v>
      </c>
      <c r="C16" s="26">
        <f t="shared" ref="C16:O16" si="2">SUM(C6:C15)</f>
        <v>0</v>
      </c>
      <c r="D16" s="26">
        <f t="shared" si="2"/>
        <v>0</v>
      </c>
      <c r="E16" s="26">
        <f t="shared" si="2"/>
        <v>0</v>
      </c>
      <c r="F16" s="26">
        <f t="shared" si="2"/>
        <v>0</v>
      </c>
      <c r="G16" s="26">
        <f t="shared" si="2"/>
        <v>0</v>
      </c>
      <c r="H16" s="26">
        <f t="shared" si="2"/>
        <v>0</v>
      </c>
      <c r="I16" s="26">
        <f t="shared" si="2"/>
        <v>0</v>
      </c>
      <c r="J16" s="26">
        <f t="shared" si="2"/>
        <v>0</v>
      </c>
      <c r="K16" s="26">
        <f t="shared" si="2"/>
        <v>0</v>
      </c>
      <c r="L16" s="26">
        <f t="shared" si="2"/>
        <v>0</v>
      </c>
      <c r="M16" s="26">
        <f t="shared" si="2"/>
        <v>0</v>
      </c>
      <c r="N16" s="26">
        <f t="shared" si="2"/>
        <v>0</v>
      </c>
      <c r="O16" s="26">
        <f t="shared" si="2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B35" s="11" t="s">
        <v>287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/>
    </row>
    <row r="36" ht="15.75" customHeight="1">
      <c r="B36" s="17" t="s">
        <v>50</v>
      </c>
      <c r="C36" s="17" t="s">
        <v>7</v>
      </c>
      <c r="D36" s="17" t="s">
        <v>8</v>
      </c>
      <c r="E36" s="17" t="s">
        <v>9</v>
      </c>
      <c r="F36" s="17" t="s">
        <v>10</v>
      </c>
      <c r="G36" s="17" t="s">
        <v>11</v>
      </c>
      <c r="H36" s="17" t="s">
        <v>12</v>
      </c>
      <c r="I36" s="17" t="s">
        <v>13</v>
      </c>
      <c r="J36" s="17" t="s">
        <v>14</v>
      </c>
      <c r="K36" s="17" t="s">
        <v>15</v>
      </c>
      <c r="L36" s="17" t="s">
        <v>16</v>
      </c>
      <c r="M36" s="17" t="s">
        <v>17</v>
      </c>
      <c r="N36" s="17" t="s">
        <v>18</v>
      </c>
      <c r="O36" s="17" t="s">
        <v>19</v>
      </c>
    </row>
    <row r="37" ht="15.75" customHeight="1">
      <c r="B37" s="24" t="s">
        <v>56</v>
      </c>
      <c r="C37" s="19">
        <f>Janeiro!M22</f>
        <v>200</v>
      </c>
      <c r="D37" s="19">
        <f>Fevereiro!M22</f>
        <v>200</v>
      </c>
      <c r="E37" s="19">
        <f>'Março'!M22</f>
        <v>200</v>
      </c>
      <c r="F37" s="19">
        <f>Abril!M22</f>
        <v>200</v>
      </c>
      <c r="G37" s="19">
        <f>Maio!M22</f>
        <v>200</v>
      </c>
      <c r="H37" s="19">
        <f>Junho!M22</f>
        <v>200</v>
      </c>
      <c r="I37" s="19">
        <f>Julho!M22</f>
        <v>200</v>
      </c>
      <c r="J37" s="19">
        <f>Agosto!M22</f>
        <v>200</v>
      </c>
      <c r="K37" s="19">
        <f>Setembro!M22</f>
        <v>200</v>
      </c>
      <c r="L37" s="19">
        <f>Outubro!M22</f>
        <v>200</v>
      </c>
      <c r="M37" s="19">
        <f>Novembro!M22</f>
        <v>200</v>
      </c>
      <c r="N37" s="19">
        <f>Dezembro!M22</f>
        <v>200</v>
      </c>
      <c r="O37" s="20">
        <f t="shared" ref="O37:O50" si="3">SUM(C37:N37)</f>
        <v>2400</v>
      </c>
    </row>
    <row r="38" ht="15.75" customHeight="1">
      <c r="B38" s="23" t="s">
        <v>58</v>
      </c>
      <c r="C38" s="19">
        <f>Janeiro!M23</f>
        <v>0</v>
      </c>
      <c r="D38" s="19">
        <f>Fevereiro!M23</f>
        <v>584.98</v>
      </c>
      <c r="E38" s="19">
        <f>'Março'!M23</f>
        <v>0</v>
      </c>
      <c r="F38" s="19">
        <f>Abril!M23</f>
        <v>0</v>
      </c>
      <c r="G38" s="19">
        <f>Maio!M23</f>
        <v>0</v>
      </c>
      <c r="H38" s="19">
        <f>Junho!M23</f>
        <v>0</v>
      </c>
      <c r="I38" s="19">
        <f>Julho!M23</f>
        <v>0</v>
      </c>
      <c r="J38" s="19">
        <f>Agosto!M23</f>
        <v>0</v>
      </c>
      <c r="K38" s="19">
        <f>Setembro!M23</f>
        <v>0</v>
      </c>
      <c r="L38" s="19">
        <f>Outubro!M23</f>
        <v>0</v>
      </c>
      <c r="M38" s="19">
        <f>Novembro!M23</f>
        <v>0</v>
      </c>
      <c r="N38" s="19">
        <f>Dezembro!M23</f>
        <v>0</v>
      </c>
      <c r="O38" s="20">
        <f t="shared" si="3"/>
        <v>584.98</v>
      </c>
    </row>
    <row r="39" ht="15.75" customHeight="1">
      <c r="B39" s="24" t="s">
        <v>60</v>
      </c>
      <c r="C39" s="19">
        <f>Janeiro!M24</f>
        <v>200</v>
      </c>
      <c r="D39" s="19">
        <f>Fevereiro!M24</f>
        <v>310</v>
      </c>
      <c r="E39" s="19">
        <f>'Março'!M24</f>
        <v>200</v>
      </c>
      <c r="F39" s="19">
        <f>Abril!M24</f>
        <v>200</v>
      </c>
      <c r="G39" s="19">
        <f>Maio!M24</f>
        <v>200</v>
      </c>
      <c r="H39" s="19">
        <f>Junho!M24</f>
        <v>200</v>
      </c>
      <c r="I39" s="19">
        <f>Julho!M24</f>
        <v>200</v>
      </c>
      <c r="J39" s="19">
        <f>Agosto!M24</f>
        <v>200</v>
      </c>
      <c r="K39" s="19">
        <f>Setembro!M24</f>
        <v>200</v>
      </c>
      <c r="L39" s="19">
        <f>Outubro!M24</f>
        <v>200</v>
      </c>
      <c r="M39" s="19">
        <f>Novembro!M24</f>
        <v>200</v>
      </c>
      <c r="N39" s="19">
        <f>Dezembro!M24</f>
        <v>200</v>
      </c>
      <c r="O39" s="20">
        <f t="shared" si="3"/>
        <v>2510</v>
      </c>
    </row>
    <row r="40" ht="15.75" customHeight="1">
      <c r="B40" s="23" t="s">
        <v>62</v>
      </c>
      <c r="C40" s="19">
        <f>Janeiro!M25</f>
        <v>0</v>
      </c>
      <c r="D40" s="19">
        <f>Fevereiro!M25</f>
        <v>101</v>
      </c>
      <c r="E40" s="19">
        <f>'Março'!M25</f>
        <v>0</v>
      </c>
      <c r="F40" s="19">
        <f>Abril!M25</f>
        <v>0</v>
      </c>
      <c r="G40" s="19">
        <f>Maio!M25</f>
        <v>0</v>
      </c>
      <c r="H40" s="19">
        <f>Junho!M25</f>
        <v>0</v>
      </c>
      <c r="I40" s="19">
        <f>Julho!M25</f>
        <v>0</v>
      </c>
      <c r="J40" s="19">
        <f>Agosto!M25</f>
        <v>0</v>
      </c>
      <c r="K40" s="19">
        <f>Setembro!M25</f>
        <v>0</v>
      </c>
      <c r="L40" s="19">
        <f>Outubro!M25</f>
        <v>0</v>
      </c>
      <c r="M40" s="19">
        <f>Novembro!M25</f>
        <v>0</v>
      </c>
      <c r="N40" s="19">
        <f>Dezembro!M25</f>
        <v>0</v>
      </c>
      <c r="O40" s="20">
        <f t="shared" si="3"/>
        <v>101</v>
      </c>
    </row>
    <row r="41" ht="15.75" customHeight="1">
      <c r="B41" s="24" t="s">
        <v>64</v>
      </c>
      <c r="C41" s="19">
        <f>Janeiro!M26</f>
        <v>470</v>
      </c>
      <c r="D41" s="19">
        <f>Fevereiro!M26</f>
        <v>470</v>
      </c>
      <c r="E41" s="19">
        <f>'Março'!M26</f>
        <v>470</v>
      </c>
      <c r="F41" s="19">
        <f>Abril!M26</f>
        <v>470</v>
      </c>
      <c r="G41" s="19">
        <f>Maio!M26</f>
        <v>470</v>
      </c>
      <c r="H41" s="19">
        <f>Junho!M26</f>
        <v>470</v>
      </c>
      <c r="I41" s="19">
        <f>Julho!M26</f>
        <v>470</v>
      </c>
      <c r="J41" s="19">
        <f>Agosto!M26</f>
        <v>470</v>
      </c>
      <c r="K41" s="19">
        <f>Setembro!M26</f>
        <v>470</v>
      </c>
      <c r="L41" s="19">
        <f>Outubro!M26</f>
        <v>470</v>
      </c>
      <c r="M41" s="19">
        <f>Novembro!M26</f>
        <v>470</v>
      </c>
      <c r="N41" s="19">
        <f>Dezembro!M26</f>
        <v>470</v>
      </c>
      <c r="O41" s="20">
        <f t="shared" si="3"/>
        <v>5640</v>
      </c>
    </row>
    <row r="42" ht="15.75" customHeight="1">
      <c r="B42" s="23" t="s">
        <v>66</v>
      </c>
      <c r="C42" s="19">
        <f>Janeiro!M27</f>
        <v>59.9</v>
      </c>
      <c r="D42" s="19">
        <f>Fevereiro!M27</f>
        <v>59.9</v>
      </c>
      <c r="E42" s="19">
        <f>'Março'!M27</f>
        <v>59.9</v>
      </c>
      <c r="F42" s="19">
        <f>Abril!M27</f>
        <v>59.9</v>
      </c>
      <c r="G42" s="19">
        <f>Maio!M27</f>
        <v>59.9</v>
      </c>
      <c r="H42" s="19">
        <f>Junho!M27</f>
        <v>59.9</v>
      </c>
      <c r="I42" s="19">
        <f>Julho!M27</f>
        <v>59.9</v>
      </c>
      <c r="J42" s="19">
        <f>Agosto!M27</f>
        <v>59.9</v>
      </c>
      <c r="K42" s="19">
        <f>Setembro!M27</f>
        <v>59.9</v>
      </c>
      <c r="L42" s="19">
        <f>Outubro!M27</f>
        <v>59.9</v>
      </c>
      <c r="M42" s="19">
        <f>Novembro!M27</f>
        <v>59.9</v>
      </c>
      <c r="N42" s="19">
        <f>Dezembro!M27</f>
        <v>59.9</v>
      </c>
      <c r="O42" s="20">
        <f t="shared" si="3"/>
        <v>718.8</v>
      </c>
    </row>
    <row r="43" ht="15.75" customHeight="1">
      <c r="B43" s="24" t="s">
        <v>68</v>
      </c>
      <c r="C43" s="19">
        <f>Janeiro!M28</f>
        <v>0</v>
      </c>
      <c r="D43" s="19">
        <f>Fevereiro!M28</f>
        <v>142</v>
      </c>
      <c r="E43" s="19">
        <f>'Março'!M28</f>
        <v>0</v>
      </c>
      <c r="F43" s="19">
        <f>Abril!M28</f>
        <v>0</v>
      </c>
      <c r="G43" s="19">
        <f>Maio!M28</f>
        <v>0</v>
      </c>
      <c r="H43" s="19">
        <f>Junho!M28</f>
        <v>0</v>
      </c>
      <c r="I43" s="19">
        <f>Julho!M28</f>
        <v>0</v>
      </c>
      <c r="J43" s="19">
        <f>Agosto!M28</f>
        <v>0</v>
      </c>
      <c r="K43" s="19">
        <f>Setembro!M28</f>
        <v>0</v>
      </c>
      <c r="L43" s="19">
        <f>Outubro!M28</f>
        <v>0</v>
      </c>
      <c r="M43" s="19">
        <f>Novembro!M28</f>
        <v>0</v>
      </c>
      <c r="N43" s="19">
        <f>Dezembro!M28</f>
        <v>0</v>
      </c>
      <c r="O43" s="20">
        <f t="shared" si="3"/>
        <v>142</v>
      </c>
    </row>
    <row r="44" ht="15.75" customHeight="1">
      <c r="B44" s="23" t="s">
        <v>70</v>
      </c>
      <c r="C44" s="19">
        <f>Janeiro!M29</f>
        <v>160</v>
      </c>
      <c r="D44" s="19">
        <f>Fevereiro!M29</f>
        <v>160</v>
      </c>
      <c r="E44" s="19">
        <f>'Março'!M29</f>
        <v>160</v>
      </c>
      <c r="F44" s="19">
        <f>Abril!M29</f>
        <v>160</v>
      </c>
      <c r="G44" s="19">
        <f>Maio!M29</f>
        <v>160</v>
      </c>
      <c r="H44" s="19">
        <f>Junho!M29</f>
        <v>160</v>
      </c>
      <c r="I44" s="19">
        <f>Julho!M29</f>
        <v>160</v>
      </c>
      <c r="J44" s="19">
        <f>Agosto!M29</f>
        <v>160</v>
      </c>
      <c r="K44" s="19">
        <f>Setembro!M29</f>
        <v>160</v>
      </c>
      <c r="L44" s="19">
        <f>Outubro!M29</f>
        <v>160</v>
      </c>
      <c r="M44" s="19">
        <f>Novembro!M29</f>
        <v>160</v>
      </c>
      <c r="N44" s="19">
        <f>Dezembro!M29</f>
        <v>160</v>
      </c>
      <c r="O44" s="20">
        <f t="shared" si="3"/>
        <v>1920</v>
      </c>
    </row>
    <row r="45" ht="15.75" customHeight="1">
      <c r="B45" s="24" t="s">
        <v>72</v>
      </c>
      <c r="C45" s="19">
        <f>Janeiro!M30</f>
        <v>0</v>
      </c>
      <c r="D45" s="19">
        <f>Fevereiro!M30</f>
        <v>0</v>
      </c>
      <c r="E45" s="19">
        <f>'Março'!M30</f>
        <v>0</v>
      </c>
      <c r="F45" s="19">
        <f>Abril!M30</f>
        <v>0</v>
      </c>
      <c r="G45" s="19">
        <f>Maio!M30</f>
        <v>0</v>
      </c>
      <c r="H45" s="19">
        <f>Junho!M30</f>
        <v>0</v>
      </c>
      <c r="I45" s="19">
        <f>Julho!M30</f>
        <v>0</v>
      </c>
      <c r="J45" s="19">
        <f>Agosto!M30</f>
        <v>0</v>
      </c>
      <c r="K45" s="19">
        <f>Setembro!M30</f>
        <v>0</v>
      </c>
      <c r="L45" s="19">
        <f>Outubro!M30</f>
        <v>0</v>
      </c>
      <c r="M45" s="19">
        <f>Novembro!M30</f>
        <v>0</v>
      </c>
      <c r="N45" s="19">
        <f>Dezembro!M30</f>
        <v>0</v>
      </c>
      <c r="O45" s="20">
        <f t="shared" si="3"/>
        <v>0</v>
      </c>
    </row>
    <row r="46" ht="15.75" customHeight="1">
      <c r="B46" s="23" t="s">
        <v>74</v>
      </c>
      <c r="C46" s="19">
        <f>Janeiro!M31</f>
        <v>0</v>
      </c>
      <c r="D46" s="19">
        <f>Fevereiro!M31</f>
        <v>0</v>
      </c>
      <c r="E46" s="19">
        <f>'Março'!M31</f>
        <v>0</v>
      </c>
      <c r="F46" s="19">
        <f>Abril!M31</f>
        <v>0</v>
      </c>
      <c r="G46" s="19">
        <f>Maio!M31</f>
        <v>0</v>
      </c>
      <c r="H46" s="19">
        <f>Junho!M31</f>
        <v>0</v>
      </c>
      <c r="I46" s="19">
        <f>Julho!M31</f>
        <v>0</v>
      </c>
      <c r="J46" s="19">
        <f>Agosto!M31</f>
        <v>0</v>
      </c>
      <c r="K46" s="19">
        <f>Setembro!M31</f>
        <v>0</v>
      </c>
      <c r="L46" s="19">
        <f>Outubro!M31</f>
        <v>0</v>
      </c>
      <c r="M46" s="19">
        <f>Novembro!M31</f>
        <v>0</v>
      </c>
      <c r="N46" s="19">
        <f>Dezembro!M31</f>
        <v>0</v>
      </c>
      <c r="O46" s="20">
        <f t="shared" si="3"/>
        <v>0</v>
      </c>
    </row>
    <row r="47" ht="15.75" customHeight="1">
      <c r="B47" s="24" t="s">
        <v>76</v>
      </c>
      <c r="C47" s="19">
        <f>Janeiro!M32</f>
        <v>0</v>
      </c>
      <c r="D47" s="19">
        <f>Fevereiro!M32</f>
        <v>0</v>
      </c>
      <c r="E47" s="19">
        <f>'Março'!M32</f>
        <v>0</v>
      </c>
      <c r="F47" s="19">
        <f>Abril!M32</f>
        <v>0</v>
      </c>
      <c r="G47" s="19">
        <f>Maio!M32</f>
        <v>0</v>
      </c>
      <c r="H47" s="19">
        <f>Junho!M32</f>
        <v>0</v>
      </c>
      <c r="I47" s="19">
        <f>Julho!M32</f>
        <v>0</v>
      </c>
      <c r="J47" s="19">
        <f>Agosto!M32</f>
        <v>0</v>
      </c>
      <c r="K47" s="19">
        <f>Setembro!M32</f>
        <v>0</v>
      </c>
      <c r="L47" s="19">
        <f>Outubro!M32</f>
        <v>0</v>
      </c>
      <c r="M47" s="19">
        <f>Novembro!M32</f>
        <v>0</v>
      </c>
      <c r="N47" s="19">
        <f>Dezembro!M32</f>
        <v>0</v>
      </c>
      <c r="O47" s="20">
        <f t="shared" si="3"/>
        <v>0</v>
      </c>
    </row>
    <row r="48" ht="15.75" customHeight="1">
      <c r="B48" s="23" t="s">
        <v>78</v>
      </c>
      <c r="C48" s="19">
        <f>Janeiro!M33</f>
        <v>0</v>
      </c>
      <c r="D48" s="19">
        <f>Fevereiro!M33</f>
        <v>0</v>
      </c>
      <c r="E48" s="19">
        <f>'Março'!M33</f>
        <v>0</v>
      </c>
      <c r="F48" s="19">
        <f>Abril!M33</f>
        <v>0</v>
      </c>
      <c r="G48" s="19">
        <f>Maio!M33</f>
        <v>0</v>
      </c>
      <c r="H48" s="19">
        <f>Junho!M33</f>
        <v>0</v>
      </c>
      <c r="I48" s="19">
        <f>Julho!M33</f>
        <v>0</v>
      </c>
      <c r="J48" s="19">
        <f>Agosto!M33</f>
        <v>0</v>
      </c>
      <c r="K48" s="19">
        <f>Setembro!M33</f>
        <v>0</v>
      </c>
      <c r="L48" s="19">
        <f>Outubro!M33</f>
        <v>0</v>
      </c>
      <c r="M48" s="19">
        <f>Novembro!M33</f>
        <v>0</v>
      </c>
      <c r="N48" s="19">
        <f>Dezembro!M33</f>
        <v>0</v>
      </c>
      <c r="O48" s="20">
        <f t="shared" si="3"/>
        <v>0</v>
      </c>
    </row>
    <row r="49" ht="15.75" customHeight="1">
      <c r="B49" s="24" t="s">
        <v>80</v>
      </c>
      <c r="C49" s="19">
        <f>Janeiro!M34</f>
        <v>0</v>
      </c>
      <c r="D49" s="19">
        <f>Fevereiro!M34</f>
        <v>0</v>
      </c>
      <c r="E49" s="19">
        <f>'Março'!M34</f>
        <v>0</v>
      </c>
      <c r="F49" s="19">
        <f>Abril!M34</f>
        <v>0</v>
      </c>
      <c r="G49" s="19">
        <f>Maio!M34</f>
        <v>0</v>
      </c>
      <c r="H49" s="19">
        <f>Junho!M34</f>
        <v>0</v>
      </c>
      <c r="I49" s="19">
        <f>Julho!M34</f>
        <v>0</v>
      </c>
      <c r="J49" s="19">
        <f>Agosto!M34</f>
        <v>0</v>
      </c>
      <c r="K49" s="19">
        <f>Setembro!M34</f>
        <v>0</v>
      </c>
      <c r="L49" s="19">
        <f>Outubro!M34</f>
        <v>0</v>
      </c>
      <c r="M49" s="19">
        <f>Novembro!M34</f>
        <v>0</v>
      </c>
      <c r="N49" s="19">
        <f>Dezembro!M34</f>
        <v>0</v>
      </c>
      <c r="O49" s="20">
        <f t="shared" si="3"/>
        <v>0</v>
      </c>
    </row>
    <row r="50" ht="15.75" customHeight="1">
      <c r="B50" s="23" t="s">
        <v>39</v>
      </c>
      <c r="C50" s="19">
        <f>Janeiro!M35</f>
        <v>0</v>
      </c>
      <c r="D50" s="19">
        <f>Fevereiro!M35</f>
        <v>0</v>
      </c>
      <c r="E50" s="19">
        <f>'Março'!M35</f>
        <v>0</v>
      </c>
      <c r="F50" s="19">
        <f>Abril!M35</f>
        <v>0</v>
      </c>
      <c r="G50" s="19">
        <f>Maio!M35</f>
        <v>0</v>
      </c>
      <c r="H50" s="19">
        <f>Junho!M35</f>
        <v>0</v>
      </c>
      <c r="I50" s="19">
        <f>Julho!M35</f>
        <v>0</v>
      </c>
      <c r="J50" s="19">
        <f>Agosto!M35</f>
        <v>0</v>
      </c>
      <c r="K50" s="19">
        <f>Setembro!M35</f>
        <v>0</v>
      </c>
      <c r="L50" s="19">
        <f>Outubro!M35</f>
        <v>0</v>
      </c>
      <c r="M50" s="19">
        <f>Novembro!M35</f>
        <v>0</v>
      </c>
      <c r="N50" s="19">
        <f>Dezembro!M35</f>
        <v>0</v>
      </c>
      <c r="O50" s="20">
        <f t="shared" si="3"/>
        <v>0</v>
      </c>
    </row>
    <row r="51" ht="15.75" customHeight="1">
      <c r="B51" s="68" t="s">
        <v>19</v>
      </c>
      <c r="C51" s="35">
        <f t="shared" ref="C51:O51" si="4">SUM(C37:C50)</f>
        <v>1089.9</v>
      </c>
      <c r="D51" s="35">
        <f t="shared" si="4"/>
        <v>2027.88</v>
      </c>
      <c r="E51" s="35">
        <f t="shared" si="4"/>
        <v>1089.9</v>
      </c>
      <c r="F51" s="35">
        <f t="shared" si="4"/>
        <v>1089.9</v>
      </c>
      <c r="G51" s="35">
        <f t="shared" si="4"/>
        <v>1089.9</v>
      </c>
      <c r="H51" s="35">
        <f t="shared" si="4"/>
        <v>1089.9</v>
      </c>
      <c r="I51" s="35">
        <f t="shared" si="4"/>
        <v>1089.9</v>
      </c>
      <c r="J51" s="35">
        <f t="shared" si="4"/>
        <v>1089.9</v>
      </c>
      <c r="K51" s="35">
        <f t="shared" si="4"/>
        <v>1089.9</v>
      </c>
      <c r="L51" s="35">
        <f t="shared" si="4"/>
        <v>1089.9</v>
      </c>
      <c r="M51" s="35">
        <f t="shared" si="4"/>
        <v>1089.9</v>
      </c>
      <c r="N51" s="35">
        <f t="shared" si="4"/>
        <v>1089.9</v>
      </c>
      <c r="O51" s="35">
        <f t="shared" si="4"/>
        <v>14016.78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>
      <c r="B70" s="12" t="s">
        <v>288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9"/>
    </row>
    <row r="71" ht="15.75" customHeight="1">
      <c r="B71" s="17" t="s">
        <v>83</v>
      </c>
      <c r="C71" s="17" t="s">
        <v>7</v>
      </c>
      <c r="D71" s="17" t="s">
        <v>8</v>
      </c>
      <c r="E71" s="17" t="s">
        <v>9</v>
      </c>
      <c r="F71" s="17" t="s">
        <v>10</v>
      </c>
      <c r="G71" s="17" t="s">
        <v>11</v>
      </c>
      <c r="H71" s="17" t="s">
        <v>12</v>
      </c>
      <c r="I71" s="17" t="s">
        <v>13</v>
      </c>
      <c r="J71" s="17" t="s">
        <v>14</v>
      </c>
      <c r="K71" s="17" t="s">
        <v>15</v>
      </c>
      <c r="L71" s="17" t="s">
        <v>16</v>
      </c>
      <c r="M71" s="17" t="s">
        <v>17</v>
      </c>
      <c r="N71" s="17" t="s">
        <v>18</v>
      </c>
      <c r="O71" s="17" t="s">
        <v>19</v>
      </c>
    </row>
    <row r="72" ht="15.75" customHeight="1">
      <c r="B72" s="123" t="s">
        <v>289</v>
      </c>
      <c r="C72" s="19">
        <f>Janeiro!N7</f>
        <v>0</v>
      </c>
      <c r="D72" s="19">
        <f>Fevereiro!N7</f>
        <v>3516.15</v>
      </c>
      <c r="E72" s="19">
        <f>'Março'!N7</f>
        <v>0</v>
      </c>
      <c r="F72" s="19">
        <f>Abril!N7</f>
        <v>0</v>
      </c>
      <c r="G72" s="19">
        <f>Maio!N7</f>
        <v>0</v>
      </c>
      <c r="H72" s="19">
        <f>Junho!N7</f>
        <v>0</v>
      </c>
      <c r="I72" s="19">
        <f>Julho!N7</f>
        <v>0</v>
      </c>
      <c r="J72" s="19">
        <f>Agosto!N7</f>
        <v>0</v>
      </c>
      <c r="K72" s="19">
        <f>Setembro!N7</f>
        <v>0</v>
      </c>
      <c r="L72" s="19">
        <f>Outubro!N7</f>
        <v>0</v>
      </c>
      <c r="M72" s="19">
        <f>Novembro!N7</f>
        <v>0</v>
      </c>
      <c r="N72" s="19">
        <f>Dezembro!N7</f>
        <v>0</v>
      </c>
      <c r="O72" s="20">
        <f t="shared" ref="O72:O77" si="5">SUM(C72:N72)</f>
        <v>3516.15</v>
      </c>
    </row>
    <row r="73" ht="15.75" customHeight="1">
      <c r="B73" s="122" t="s">
        <v>290</v>
      </c>
      <c r="C73" s="19">
        <f>Janeiro!N8</f>
        <v>0</v>
      </c>
      <c r="D73" s="19">
        <f>Fevereiro!N8</f>
        <v>639.3</v>
      </c>
      <c r="E73" s="19">
        <f>'Março'!N8</f>
        <v>0</v>
      </c>
      <c r="F73" s="19">
        <f>Abril!N8</f>
        <v>0</v>
      </c>
      <c r="G73" s="19">
        <f>Maio!N8</f>
        <v>0</v>
      </c>
      <c r="H73" s="19">
        <f>Junho!N8</f>
        <v>0</v>
      </c>
      <c r="I73" s="19">
        <f>Julho!N8</f>
        <v>0</v>
      </c>
      <c r="J73" s="19">
        <f>Agosto!N8</f>
        <v>0</v>
      </c>
      <c r="K73" s="19">
        <f>Setembro!N8</f>
        <v>0</v>
      </c>
      <c r="L73" s="19">
        <f>Outubro!N8</f>
        <v>0</v>
      </c>
      <c r="M73" s="19">
        <f>Novembro!N8</f>
        <v>0</v>
      </c>
      <c r="N73" s="19">
        <f>Dezembro!N8</f>
        <v>0</v>
      </c>
      <c r="O73" s="20">
        <f t="shared" si="5"/>
        <v>639.3</v>
      </c>
    </row>
    <row r="74" ht="15.75" customHeight="1">
      <c r="B74" s="124" t="s">
        <v>291</v>
      </c>
      <c r="C74" s="19">
        <f>Janeiro!N9</f>
        <v>0</v>
      </c>
      <c r="D74" s="19">
        <f>Fevereiro!N9</f>
        <v>639.3</v>
      </c>
      <c r="E74" s="19">
        <f>'Março'!N9</f>
        <v>0</v>
      </c>
      <c r="F74" s="19">
        <f>Abril!N9</f>
        <v>0</v>
      </c>
      <c r="G74" s="19">
        <f>Maio!N9</f>
        <v>0</v>
      </c>
      <c r="H74" s="19">
        <f>Junho!N9</f>
        <v>0</v>
      </c>
      <c r="I74" s="19">
        <f>Julho!N9</f>
        <v>0</v>
      </c>
      <c r="J74" s="19">
        <f>Agosto!N9</f>
        <v>0</v>
      </c>
      <c r="K74" s="19">
        <f>Setembro!N9</f>
        <v>0</v>
      </c>
      <c r="L74" s="19">
        <f>Outubro!N9</f>
        <v>0</v>
      </c>
      <c r="M74" s="19">
        <f>Novembro!N9</f>
        <v>0</v>
      </c>
      <c r="N74" s="19">
        <f>Dezembro!N9</f>
        <v>0</v>
      </c>
      <c r="O74" s="20">
        <f t="shared" si="5"/>
        <v>639.3</v>
      </c>
    </row>
    <row r="75" ht="15.75" customHeight="1">
      <c r="B75" s="125" t="s">
        <v>292</v>
      </c>
      <c r="C75" s="19">
        <f>Janeiro!N10</f>
        <v>0</v>
      </c>
      <c r="D75" s="19">
        <f>Fevereiro!N10</f>
        <v>639.3</v>
      </c>
      <c r="E75" s="19">
        <f>'Março'!N10</f>
        <v>0</v>
      </c>
      <c r="F75" s="19">
        <f>Abril!N10</f>
        <v>0</v>
      </c>
      <c r="G75" s="19">
        <f>Maio!N10</f>
        <v>0</v>
      </c>
      <c r="H75" s="19">
        <f>Junho!N10</f>
        <v>0</v>
      </c>
      <c r="I75" s="19">
        <f>Julho!N10</f>
        <v>0</v>
      </c>
      <c r="J75" s="19">
        <f>Agosto!N10</f>
        <v>0</v>
      </c>
      <c r="K75" s="19">
        <f>Setembro!N10</f>
        <v>0</v>
      </c>
      <c r="L75" s="19">
        <f>Outubro!N10</f>
        <v>0</v>
      </c>
      <c r="M75" s="19">
        <f>Novembro!N10</f>
        <v>0</v>
      </c>
      <c r="N75" s="19">
        <f>Dezembro!N10</f>
        <v>0</v>
      </c>
      <c r="O75" s="20">
        <f t="shared" si="5"/>
        <v>639.3</v>
      </c>
    </row>
    <row r="76" ht="15.75" customHeight="1">
      <c r="B76" s="68" t="s">
        <v>293</v>
      </c>
      <c r="C76" s="19">
        <f>Janeiro!N11</f>
        <v>0</v>
      </c>
      <c r="D76" s="19">
        <f>Fevereiro!N11</f>
        <v>639.3</v>
      </c>
      <c r="E76" s="19">
        <f>'Março'!N11</f>
        <v>0</v>
      </c>
      <c r="F76" s="19">
        <f>Abril!N11</f>
        <v>0</v>
      </c>
      <c r="G76" s="19">
        <f>Maio!N11</f>
        <v>0</v>
      </c>
      <c r="H76" s="19">
        <f>Junho!N11</f>
        <v>0</v>
      </c>
      <c r="I76" s="19">
        <f>Julho!N11</f>
        <v>0</v>
      </c>
      <c r="J76" s="19">
        <f>Agosto!N11</f>
        <v>0</v>
      </c>
      <c r="K76" s="19">
        <f>Setembro!N11</f>
        <v>0</v>
      </c>
      <c r="L76" s="19">
        <f>Outubro!N11</f>
        <v>0</v>
      </c>
      <c r="M76" s="19">
        <f>Novembro!N11</f>
        <v>0</v>
      </c>
      <c r="N76" s="19">
        <f>Dezembro!N11</f>
        <v>0</v>
      </c>
      <c r="O76" s="20">
        <f t="shared" si="5"/>
        <v>639.3</v>
      </c>
    </row>
    <row r="77" ht="15.75" customHeight="1">
      <c r="B77" s="126" t="s">
        <v>294</v>
      </c>
      <c r="C77" s="19">
        <f>Janeiro!N12</f>
        <v>0</v>
      </c>
      <c r="D77" s="19">
        <f>Fevereiro!N12</f>
        <v>319.65</v>
      </c>
      <c r="E77" s="19">
        <f>'Março'!N12</f>
        <v>0</v>
      </c>
      <c r="F77" s="19">
        <f>Abril!N12</f>
        <v>0</v>
      </c>
      <c r="G77" s="19">
        <f>Maio!N12</f>
        <v>0</v>
      </c>
      <c r="H77" s="19">
        <f>Junho!N12</f>
        <v>0</v>
      </c>
      <c r="I77" s="19">
        <f>Julho!N12</f>
        <v>0</v>
      </c>
      <c r="J77" s="19">
        <f>Agosto!N12</f>
        <v>0</v>
      </c>
      <c r="K77" s="19">
        <f>Setembro!N12</f>
        <v>0</v>
      </c>
      <c r="L77" s="19">
        <f>Outubro!N12</f>
        <v>0</v>
      </c>
      <c r="M77" s="19">
        <f>Novembro!N12</f>
        <v>0</v>
      </c>
      <c r="N77" s="19">
        <f>Dezembro!N12</f>
        <v>0</v>
      </c>
      <c r="O77" s="20">
        <f t="shared" si="5"/>
        <v>319.65</v>
      </c>
    </row>
    <row r="78" ht="15.75" customHeight="1">
      <c r="B78" s="17" t="s">
        <v>19</v>
      </c>
      <c r="C78" s="20">
        <f t="shared" ref="C78:O78" si="6">SUM(C72:C77)</f>
        <v>0</v>
      </c>
      <c r="D78" s="20">
        <f t="shared" si="6"/>
        <v>6393</v>
      </c>
      <c r="E78" s="20">
        <f t="shared" si="6"/>
        <v>0</v>
      </c>
      <c r="F78" s="20">
        <f t="shared" si="6"/>
        <v>0</v>
      </c>
      <c r="G78" s="20">
        <f t="shared" si="6"/>
        <v>0</v>
      </c>
      <c r="H78" s="20">
        <f t="shared" si="6"/>
        <v>0</v>
      </c>
      <c r="I78" s="20">
        <f t="shared" si="6"/>
        <v>0</v>
      </c>
      <c r="J78" s="20">
        <f t="shared" si="6"/>
        <v>0</v>
      </c>
      <c r="K78" s="20">
        <f t="shared" si="6"/>
        <v>0</v>
      </c>
      <c r="L78" s="20">
        <f t="shared" si="6"/>
        <v>0</v>
      </c>
      <c r="M78" s="20">
        <f t="shared" si="6"/>
        <v>0</v>
      </c>
      <c r="N78" s="20">
        <f t="shared" si="6"/>
        <v>0</v>
      </c>
      <c r="O78" s="20">
        <f t="shared" si="6"/>
        <v>6393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O2"/>
    <mergeCell ref="B4:O4"/>
    <mergeCell ref="B35:O35"/>
    <mergeCell ref="B70:O70"/>
  </mergeCells>
  <printOptions/>
  <pageMargins bottom="1.0" footer="0.0" header="0.0" left="0.75" right="0.75" top="1.0"/>
  <pageSetup paperSize="9" orientation="portrait"/>
  <drawing r:id="rId1"/>
</worksheet>
</file>